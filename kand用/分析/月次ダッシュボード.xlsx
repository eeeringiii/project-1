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ダッシュボード" sheetId="1" state="visible" r:id="rId1"/>
    <sheet name="設定・凡例" sheetId="2" state="visible" r:id="rId2"/>
    <sheet name="投稿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808080"/>
      <sz val="9"/>
    </font>
    <font>
      <name val="Arial"/>
      <b val="1"/>
      <color rgb="001F3A5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808080"/>
      <sz val="8"/>
    </font>
    <font>
      <name val="Arial"/>
      <b val="1"/>
      <color rgb="001F3A5F"/>
      <sz val="12"/>
    </font>
    <font>
      <name val="Arial"/>
      <i val="1"/>
      <color rgb="00808080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3A5F"/>
      <sz val="14"/>
    </font>
  </fonts>
  <fills count="8">
    <fill>
      <patternFill/>
    </fill>
    <fill>
      <patternFill patternType="gray125"/>
    </fill>
    <fill>
      <patternFill patternType="solid">
        <fgColor rgb="00FFF6C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3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2" fillId="0" borderId="0" pivotButton="0" quotePrefix="0" xfId="0"/>
    <xf numFmtId="3" fontId="10" fillId="2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/>
    </xf>
    <xf numFmtId="164" fontId="10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1" fontId="10" fillId="2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1" customWidth="1" min="11" max="11"/>
  </cols>
  <sheetData>
    <row r="2">
      <c r="B2" s="1" t="inlineStr">
        <is>
          <t>月次ダッシュボード</t>
        </is>
      </c>
    </row>
    <row r="3">
      <c r="B3" s="2" t="inlineStr">
        <is>
          <t>投稿ログから自動集計＋フォロワー数を貼るだけ。色は好調=緑／標準=黄／要改善=赤。</t>
        </is>
      </c>
    </row>
    <row r="5">
      <c r="B5" s="3" t="inlineStr">
        <is>
          <t>① 投稿パフォーマンス（投稿ログから自動集計）</t>
        </is>
      </c>
    </row>
    <row r="6" ht="28" customHeight="1">
      <c r="B6" s="4" t="inlineStr">
        <is>
          <t>月</t>
        </is>
      </c>
      <c r="C6" s="4" t="inlineStr">
        <is>
          <t>投稿数</t>
        </is>
      </c>
      <c r="D6" s="4" t="inlineStr">
        <is>
          <t>当たり数</t>
        </is>
      </c>
      <c r="E6" s="4" t="inlineStr">
        <is>
          <t>打率</t>
        </is>
      </c>
      <c r="F6" s="4" t="inlineStr">
        <is>
          <t>平均
ﾌｫﾛﾜｰ外%</t>
        </is>
      </c>
      <c r="G6" s="4" t="inlineStr">
        <is>
          <t>平均
3秒突破%</t>
        </is>
      </c>
      <c r="H6" s="4" t="inlineStr">
        <is>
          <t>平均
維持%</t>
        </is>
      </c>
      <c r="I6" s="4" t="inlineStr">
        <is>
          <t>平均
保存%</t>
        </is>
      </c>
      <c r="J6" s="4" t="inlineStr">
        <is>
          <t>平均
いいね%</t>
        </is>
      </c>
      <c r="K6" s="4" t="inlineStr">
        <is>
          <t>新規ﾌｫﾛｰ
合計</t>
        </is>
      </c>
    </row>
    <row r="7">
      <c r="B7" s="5" t="inlineStr">
        <is>
          <t>2026-08</t>
        </is>
      </c>
      <c r="C7" s="6">
        <f>COUNTIFS('投稿ログ'!$B$5:$B$204,B7)</f>
        <v/>
      </c>
      <c r="D7" s="6">
        <f>COUNTIFS('投稿ログ'!$B$5:$B$204,B7,'投稿ログ'!$W$5:$W$204,"○")</f>
        <v/>
      </c>
      <c r="E7" s="7">
        <f>IFERROR(D7/C7,"")</f>
        <v/>
      </c>
      <c r="F7" s="7">
        <f>IFERROR(AVERAGEIFS('投稿ログ'!$O$5:$O$204,'投稿ログ'!$B$5:$B$204,B7),"")</f>
        <v/>
      </c>
      <c r="G7" s="7">
        <f>IFERROR(AVERAGEIFS('投稿ログ'!$P$5:$P$204,'投稿ログ'!$B$5:$B$204,B7),"")</f>
        <v/>
      </c>
      <c r="H7" s="7">
        <f>IFERROR(AVERAGEIFS('投稿ログ'!$Q$5:$Q$204,'投稿ログ'!$B$5:$B$204,B7),"")</f>
        <v/>
      </c>
      <c r="I7" s="7">
        <f>IFERROR(AVERAGEIFS('投稿ログ'!$R$5:$R$204,'投稿ログ'!$B$5:$B$204,B7),"")</f>
        <v/>
      </c>
      <c r="J7" s="7">
        <f>IFERROR(AVERAGEIFS('投稿ログ'!$S$5:$S$204,'投稿ログ'!$B$5:$B$204,B7),"")</f>
        <v/>
      </c>
      <c r="K7" s="6">
        <f>IFERROR(SUMIFS('投稿ログ'!$N$5:$N$204,'投稿ログ'!$B$5:$B$204,B7),"")</f>
        <v/>
      </c>
    </row>
    <row r="8">
      <c r="B8" s="5" t="inlineStr">
        <is>
          <t>2026-09</t>
        </is>
      </c>
      <c r="C8" s="6">
        <f>COUNTIFS('投稿ログ'!$B$5:$B$204,B8)</f>
        <v/>
      </c>
      <c r="D8" s="6">
        <f>COUNTIFS('投稿ログ'!$B$5:$B$204,B8,'投稿ログ'!$W$5:$W$204,"○")</f>
        <v/>
      </c>
      <c r="E8" s="7">
        <f>IFERROR(D8/C8,"")</f>
        <v/>
      </c>
      <c r="F8" s="7">
        <f>IFERROR(AVERAGEIFS('投稿ログ'!$O$5:$O$204,'投稿ログ'!$B$5:$B$204,B8),"")</f>
        <v/>
      </c>
      <c r="G8" s="7">
        <f>IFERROR(AVERAGEIFS('投稿ログ'!$P$5:$P$204,'投稿ログ'!$B$5:$B$204,B8),"")</f>
        <v/>
      </c>
      <c r="H8" s="7">
        <f>IFERROR(AVERAGEIFS('投稿ログ'!$Q$5:$Q$204,'投稿ログ'!$B$5:$B$204,B8),"")</f>
        <v/>
      </c>
      <c r="I8" s="7">
        <f>IFERROR(AVERAGEIFS('投稿ログ'!$R$5:$R$204,'投稿ログ'!$B$5:$B$204,B8),"")</f>
        <v/>
      </c>
      <c r="J8" s="7">
        <f>IFERROR(AVERAGEIFS('投稿ログ'!$S$5:$S$204,'投稿ログ'!$B$5:$B$204,B8),"")</f>
        <v/>
      </c>
      <c r="K8" s="6">
        <f>IFERROR(SUMIFS('投稿ログ'!$N$5:$N$204,'投稿ログ'!$B$5:$B$204,B8),"")</f>
        <v/>
      </c>
    </row>
    <row r="9">
      <c r="B9" s="5" t="inlineStr">
        <is>
          <t>2026-10</t>
        </is>
      </c>
      <c r="C9" s="6">
        <f>COUNTIFS('投稿ログ'!$B$5:$B$204,B9)</f>
        <v/>
      </c>
      <c r="D9" s="6">
        <f>COUNTIFS('投稿ログ'!$B$5:$B$204,B9,'投稿ログ'!$W$5:$W$204,"○")</f>
        <v/>
      </c>
      <c r="E9" s="7">
        <f>IFERROR(D9/C9,"")</f>
        <v/>
      </c>
      <c r="F9" s="7">
        <f>IFERROR(AVERAGEIFS('投稿ログ'!$O$5:$O$204,'投稿ログ'!$B$5:$B$204,B9),"")</f>
        <v/>
      </c>
      <c r="G9" s="7">
        <f>IFERROR(AVERAGEIFS('投稿ログ'!$P$5:$P$204,'投稿ログ'!$B$5:$B$204,B9),"")</f>
        <v/>
      </c>
      <c r="H9" s="7">
        <f>IFERROR(AVERAGEIFS('投稿ログ'!$Q$5:$Q$204,'投稿ログ'!$B$5:$B$204,B9),"")</f>
        <v/>
      </c>
      <c r="I9" s="7">
        <f>IFERROR(AVERAGEIFS('投稿ログ'!$R$5:$R$204,'投稿ログ'!$B$5:$B$204,B9),"")</f>
        <v/>
      </c>
      <c r="J9" s="7">
        <f>IFERROR(AVERAGEIFS('投稿ログ'!$S$5:$S$204,'投稿ログ'!$B$5:$B$204,B9),"")</f>
        <v/>
      </c>
      <c r="K9" s="6">
        <f>IFERROR(SUMIFS('投稿ログ'!$N$5:$N$204,'投稿ログ'!$B$5:$B$204,B9),"")</f>
        <v/>
      </c>
    </row>
    <row r="10">
      <c r="B10" s="5" t="inlineStr">
        <is>
          <t>2026-11</t>
        </is>
      </c>
      <c r="C10" s="6">
        <f>COUNTIFS('投稿ログ'!$B$5:$B$204,B10)</f>
        <v/>
      </c>
      <c r="D10" s="6">
        <f>COUNTIFS('投稿ログ'!$B$5:$B$204,B10,'投稿ログ'!$W$5:$W$204,"○")</f>
        <v/>
      </c>
      <c r="E10" s="7">
        <f>IFERROR(D10/C10,"")</f>
        <v/>
      </c>
      <c r="F10" s="7">
        <f>IFERROR(AVERAGEIFS('投稿ログ'!$O$5:$O$204,'投稿ログ'!$B$5:$B$204,B10),"")</f>
        <v/>
      </c>
      <c r="G10" s="7">
        <f>IFERROR(AVERAGEIFS('投稿ログ'!$P$5:$P$204,'投稿ログ'!$B$5:$B$204,B10),"")</f>
        <v/>
      </c>
      <c r="H10" s="7">
        <f>IFERROR(AVERAGEIFS('投稿ログ'!$Q$5:$Q$204,'投稿ログ'!$B$5:$B$204,B10),"")</f>
        <v/>
      </c>
      <c r="I10" s="7">
        <f>IFERROR(AVERAGEIFS('投稿ログ'!$R$5:$R$204,'投稿ログ'!$B$5:$B$204,B10),"")</f>
        <v/>
      </c>
      <c r="J10" s="7">
        <f>IFERROR(AVERAGEIFS('投稿ログ'!$S$5:$S$204,'投稿ログ'!$B$5:$B$204,B10),"")</f>
        <v/>
      </c>
      <c r="K10" s="6">
        <f>IFERROR(SUMIFS('投稿ログ'!$N$5:$N$204,'投稿ログ'!$B$5:$B$204,B10),"")</f>
        <v/>
      </c>
    </row>
    <row r="11">
      <c r="B11" s="5" t="inlineStr">
        <is>
          <t>2026-12</t>
        </is>
      </c>
      <c r="C11" s="6">
        <f>COUNTIFS('投稿ログ'!$B$5:$B$204,B11)</f>
        <v/>
      </c>
      <c r="D11" s="6">
        <f>COUNTIFS('投稿ログ'!$B$5:$B$204,B11,'投稿ログ'!$W$5:$W$204,"○")</f>
        <v/>
      </c>
      <c r="E11" s="7">
        <f>IFERROR(D11/C11,"")</f>
        <v/>
      </c>
      <c r="F11" s="7">
        <f>IFERROR(AVERAGEIFS('投稿ログ'!$O$5:$O$204,'投稿ログ'!$B$5:$B$204,B11),"")</f>
        <v/>
      </c>
      <c r="G11" s="7">
        <f>IFERROR(AVERAGEIFS('投稿ログ'!$P$5:$P$204,'投稿ログ'!$B$5:$B$204,B11),"")</f>
        <v/>
      </c>
      <c r="H11" s="7">
        <f>IFERROR(AVERAGEIFS('投稿ログ'!$Q$5:$Q$204,'投稿ログ'!$B$5:$B$204,B11),"")</f>
        <v/>
      </c>
      <c r="I11" s="7">
        <f>IFERROR(AVERAGEIFS('投稿ログ'!$R$5:$R$204,'投稿ログ'!$B$5:$B$204,B11),"")</f>
        <v/>
      </c>
      <c r="J11" s="7">
        <f>IFERROR(AVERAGEIFS('投稿ログ'!$S$5:$S$204,'投稿ログ'!$B$5:$B$204,B11),"")</f>
        <v/>
      </c>
      <c r="K11" s="6">
        <f>IFERROR(SUMIFS('投稿ログ'!$N$5:$N$204,'投稿ログ'!$B$5:$B$204,B11),"")</f>
        <v/>
      </c>
    </row>
    <row r="12">
      <c r="B12" s="5" t="inlineStr">
        <is>
          <t>2027-01</t>
        </is>
      </c>
      <c r="C12" s="6">
        <f>COUNTIFS('投稿ログ'!$B$5:$B$204,B12)</f>
        <v/>
      </c>
      <c r="D12" s="6">
        <f>COUNTIFS('投稿ログ'!$B$5:$B$204,B12,'投稿ログ'!$W$5:$W$204,"○")</f>
        <v/>
      </c>
      <c r="E12" s="7">
        <f>IFERROR(D12/C12,"")</f>
        <v/>
      </c>
      <c r="F12" s="7">
        <f>IFERROR(AVERAGEIFS('投稿ログ'!$O$5:$O$204,'投稿ログ'!$B$5:$B$204,B12),"")</f>
        <v/>
      </c>
      <c r="G12" s="7">
        <f>IFERROR(AVERAGEIFS('投稿ログ'!$P$5:$P$204,'投稿ログ'!$B$5:$B$204,B12),"")</f>
        <v/>
      </c>
      <c r="H12" s="7">
        <f>IFERROR(AVERAGEIFS('投稿ログ'!$Q$5:$Q$204,'投稿ログ'!$B$5:$B$204,B12),"")</f>
        <v/>
      </c>
      <c r="I12" s="7">
        <f>IFERROR(AVERAGEIFS('投稿ログ'!$R$5:$R$204,'投稿ログ'!$B$5:$B$204,B12),"")</f>
        <v/>
      </c>
      <c r="J12" s="7">
        <f>IFERROR(AVERAGEIFS('投稿ログ'!$S$5:$S$204,'投稿ログ'!$B$5:$B$204,B12),"")</f>
        <v/>
      </c>
      <c r="K12" s="6">
        <f>IFERROR(SUMIFS('投稿ログ'!$N$5:$N$204,'投稿ログ'!$B$5:$B$204,B12),"")</f>
        <v/>
      </c>
    </row>
    <row r="13">
      <c r="B13" s="5" t="inlineStr">
        <is>
          <t>2027-02</t>
        </is>
      </c>
      <c r="C13" s="6">
        <f>COUNTIFS('投稿ログ'!$B$5:$B$204,B13)</f>
        <v/>
      </c>
      <c r="D13" s="6">
        <f>COUNTIFS('投稿ログ'!$B$5:$B$204,B13,'投稿ログ'!$W$5:$W$204,"○")</f>
        <v/>
      </c>
      <c r="E13" s="7">
        <f>IFERROR(D13/C13,"")</f>
        <v/>
      </c>
      <c r="F13" s="7">
        <f>IFERROR(AVERAGEIFS('投稿ログ'!$O$5:$O$204,'投稿ログ'!$B$5:$B$204,B13),"")</f>
        <v/>
      </c>
      <c r="G13" s="7">
        <f>IFERROR(AVERAGEIFS('投稿ログ'!$P$5:$P$204,'投稿ログ'!$B$5:$B$204,B13),"")</f>
        <v/>
      </c>
      <c r="H13" s="7">
        <f>IFERROR(AVERAGEIFS('投稿ログ'!$Q$5:$Q$204,'投稿ログ'!$B$5:$B$204,B13),"")</f>
        <v/>
      </c>
      <c r="I13" s="7">
        <f>IFERROR(AVERAGEIFS('投稿ログ'!$R$5:$R$204,'投稿ログ'!$B$5:$B$204,B13),"")</f>
        <v/>
      </c>
      <c r="J13" s="7">
        <f>IFERROR(AVERAGEIFS('投稿ログ'!$S$5:$S$204,'投稿ログ'!$B$5:$B$204,B13),"")</f>
        <v/>
      </c>
      <c r="K13" s="6">
        <f>IFERROR(SUMIFS('投稿ログ'!$N$5:$N$204,'投稿ログ'!$B$5:$B$204,B13),"")</f>
        <v/>
      </c>
    </row>
    <row r="14">
      <c r="B14" s="5" t="inlineStr">
        <is>
          <t>2027-03</t>
        </is>
      </c>
      <c r="C14" s="6">
        <f>COUNTIFS('投稿ログ'!$B$5:$B$204,B14)</f>
        <v/>
      </c>
      <c r="D14" s="6">
        <f>COUNTIFS('投稿ログ'!$B$5:$B$204,B14,'投稿ログ'!$W$5:$W$204,"○")</f>
        <v/>
      </c>
      <c r="E14" s="7">
        <f>IFERROR(D14/C14,"")</f>
        <v/>
      </c>
      <c r="F14" s="7">
        <f>IFERROR(AVERAGEIFS('投稿ログ'!$O$5:$O$204,'投稿ログ'!$B$5:$B$204,B14),"")</f>
        <v/>
      </c>
      <c r="G14" s="7">
        <f>IFERROR(AVERAGEIFS('投稿ログ'!$P$5:$P$204,'投稿ログ'!$B$5:$B$204,B14),"")</f>
        <v/>
      </c>
      <c r="H14" s="7">
        <f>IFERROR(AVERAGEIFS('投稿ログ'!$Q$5:$Q$204,'投稿ログ'!$B$5:$B$204,B14),"")</f>
        <v/>
      </c>
      <c r="I14" s="7">
        <f>IFERROR(AVERAGEIFS('投稿ログ'!$R$5:$R$204,'投稿ログ'!$B$5:$B$204,B14),"")</f>
        <v/>
      </c>
      <c r="J14" s="7">
        <f>IFERROR(AVERAGEIFS('投稿ログ'!$S$5:$S$204,'投稿ログ'!$B$5:$B$204,B14),"")</f>
        <v/>
      </c>
      <c r="K14" s="6">
        <f>IFERROR(SUMIFS('投稿ログ'!$N$5:$N$204,'投稿ログ'!$B$5:$B$204,B14),"")</f>
        <v/>
      </c>
    </row>
    <row r="16">
      <c r="B16" s="8" t="n">
        <v>11</v>
      </c>
    </row>
    <row r="17" ht="28" customHeight="1">
      <c r="B17" s="4" t="inlineStr">
        <is>
          <t>月</t>
        </is>
      </c>
      <c r="C17" s="4" t="inlineStr">
        <is>
          <t>Instagram</t>
        </is>
      </c>
      <c r="D17" s="4" t="inlineStr">
        <is>
          <t>TikTok</t>
        </is>
      </c>
      <c r="E17" s="4" t="inlineStr">
        <is>
          <t>Threads</t>
        </is>
      </c>
      <c r="F17" s="4" t="inlineStr">
        <is>
          <t>YouTube</t>
        </is>
      </c>
      <c r="G17" s="4" t="inlineStr">
        <is>
          <t>総フォロワー</t>
        </is>
      </c>
      <c r="H17" s="4" t="inlineStr">
        <is>
          <t>前月比</t>
        </is>
      </c>
      <c r="I17" s="4" t="inlineStr">
        <is>
          <t>KPI進捗
(/78,000)</t>
        </is>
      </c>
    </row>
    <row r="18">
      <c r="B18" s="5" t="inlineStr">
        <is>
          <t>2026-08</t>
        </is>
      </c>
      <c r="C18" s="9" t="n"/>
      <c r="D18" s="9" t="n"/>
      <c r="E18" s="9" t="n"/>
      <c r="F18" s="9" t="n"/>
      <c r="G18" s="6">
        <f>IF(COUNT(C18:F18)=0,"",SUM(C18:F18))</f>
        <v/>
      </c>
      <c r="H18" s="6" t="inlineStr"/>
      <c r="I18" s="7">
        <f>IFERROR(G18/78000,"")</f>
        <v/>
      </c>
    </row>
    <row r="19">
      <c r="B19" s="5" t="inlineStr">
        <is>
          <t>2026-09</t>
        </is>
      </c>
      <c r="C19" s="9" t="n"/>
      <c r="D19" s="9" t="n"/>
      <c r="E19" s="9" t="n"/>
      <c r="F19" s="9" t="n"/>
      <c r="G19" s="6">
        <f>IF(COUNT(C19:F19)=0,"",SUM(C19:F19))</f>
        <v/>
      </c>
      <c r="H19" s="6">
        <f>IF(OR(G19="",G18=""),"",G19-G18)</f>
        <v/>
      </c>
      <c r="I19" s="7">
        <f>IFERROR(G19/78000,"")</f>
        <v/>
      </c>
    </row>
    <row r="20">
      <c r="B20" s="5" t="inlineStr">
        <is>
          <t>2026-10</t>
        </is>
      </c>
      <c r="C20" s="9" t="n"/>
      <c r="D20" s="9" t="n"/>
      <c r="E20" s="9" t="n"/>
      <c r="F20" s="9" t="n"/>
      <c r="G20" s="6">
        <f>IF(COUNT(C20:F20)=0,"",SUM(C20:F20))</f>
        <v/>
      </c>
      <c r="H20" s="6">
        <f>IF(OR(G20="",G19=""),"",G20-G19)</f>
        <v/>
      </c>
      <c r="I20" s="7">
        <f>IFERROR(G20/78000,"")</f>
        <v/>
      </c>
    </row>
    <row r="21">
      <c r="B21" s="5" t="inlineStr">
        <is>
          <t>2026-11</t>
        </is>
      </c>
      <c r="C21" s="9" t="n"/>
      <c r="D21" s="9" t="n"/>
      <c r="E21" s="9" t="n"/>
      <c r="F21" s="9" t="n"/>
      <c r="G21" s="6">
        <f>IF(COUNT(C21:F21)=0,"",SUM(C21:F21))</f>
        <v/>
      </c>
      <c r="H21" s="6">
        <f>IF(OR(G21="",G20=""),"",G21-G20)</f>
        <v/>
      </c>
      <c r="I21" s="7">
        <f>IFERROR(G21/78000,"")</f>
        <v/>
      </c>
    </row>
    <row r="22">
      <c r="B22" s="5" t="inlineStr">
        <is>
          <t>2026-12</t>
        </is>
      </c>
      <c r="C22" s="9" t="n"/>
      <c r="D22" s="9" t="n"/>
      <c r="E22" s="9" t="n"/>
      <c r="F22" s="9" t="n"/>
      <c r="G22" s="6">
        <f>IF(COUNT(C22:F22)=0,"",SUM(C22:F22))</f>
        <v/>
      </c>
      <c r="H22" s="6">
        <f>IF(OR(G22="",G21=""),"",G22-G21)</f>
        <v/>
      </c>
      <c r="I22" s="7">
        <f>IFERROR(G22/78000,"")</f>
        <v/>
      </c>
    </row>
    <row r="23">
      <c r="B23" s="5" t="inlineStr">
        <is>
          <t>2027-01</t>
        </is>
      </c>
      <c r="C23" s="9" t="n"/>
      <c r="D23" s="9" t="n"/>
      <c r="E23" s="9" t="n"/>
      <c r="F23" s="9" t="n"/>
      <c r="G23" s="6">
        <f>IF(COUNT(C23:F23)=0,"",SUM(C23:F23))</f>
        <v/>
      </c>
      <c r="H23" s="6">
        <f>IF(OR(G23="",G22=""),"",G23-G22)</f>
        <v/>
      </c>
      <c r="I23" s="7">
        <f>IFERROR(G23/78000,"")</f>
        <v/>
      </c>
    </row>
    <row r="24">
      <c r="B24" s="5" t="inlineStr">
        <is>
          <t>2027-02</t>
        </is>
      </c>
      <c r="C24" s="9" t="n"/>
      <c r="D24" s="9" t="n"/>
      <c r="E24" s="9" t="n"/>
      <c r="F24" s="9" t="n"/>
      <c r="G24" s="6">
        <f>IF(COUNT(C24:F24)=0,"",SUM(C24:F24))</f>
        <v/>
      </c>
      <c r="H24" s="6">
        <f>IF(OR(G24="",G23=""),"",G24-G23)</f>
        <v/>
      </c>
      <c r="I24" s="7">
        <f>IFERROR(G24/78000,"")</f>
        <v/>
      </c>
    </row>
    <row r="25">
      <c r="B25" s="5" t="inlineStr">
        <is>
          <t>2027-03</t>
        </is>
      </c>
      <c r="C25" s="9" t="n"/>
      <c r="D25" s="9" t="n"/>
      <c r="E25" s="9" t="n"/>
      <c r="F25" s="9" t="n"/>
      <c r="G25" s="6">
        <f>IF(COUNT(C25:F25)=0,"",SUM(C25:F25))</f>
        <v/>
      </c>
      <c r="H25" s="6">
        <f>IF(OR(G25="",G24=""),"",G25-G24)</f>
        <v/>
      </c>
      <c r="I25" s="7">
        <f>IFERROR(G25/78000,"")</f>
        <v/>
      </c>
    </row>
  </sheetData>
  <conditionalFormatting sqref="F7:F14">
    <cfRule type="cellIs" priority="1" operator="greaterThanOrEqual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G7:G14">
    <cfRule type="cellIs" priority="4" operator="greaterThanOrEqual" dxfId="0">
      <formula>0.65</formula>
    </cfRule>
    <cfRule type="cellIs" priority="5" operator="between" dxfId="1">
      <formula>0.5</formula>
      <formula>0.65</formula>
    </cfRule>
    <cfRule type="cellIs" priority="6" operator="lessThan" dxfId="2">
      <formula>0.5</formula>
    </cfRule>
  </conditionalFormatting>
  <conditionalFormatting sqref="H7:H14">
    <cfRule type="cellIs" priority="7" operator="greaterThanOrEqual" dxfId="0">
      <formula>0.55</formula>
    </cfRule>
    <cfRule type="cellIs" priority="8" operator="between" dxfId="1">
      <formula>0.4</formula>
      <formula>0.55</formula>
    </cfRule>
    <cfRule type="cellIs" priority="9" operator="lessThan" dxfId="2">
      <formula>0.4</formula>
    </cfRule>
  </conditionalFormatting>
  <conditionalFormatting sqref="I7:I14">
    <cfRule type="cellIs" priority="10" operator="greaterThanOrEqual" dxfId="0">
      <formula>0.015</formula>
    </cfRule>
    <cfRule type="cellIs" priority="11" operator="between" dxfId="1">
      <formula>0.005</formula>
      <formula>0.015</formula>
    </cfRule>
    <cfRule type="cellIs" priority="12" operator="lessThan" dxfId="2">
      <formula>0.005</formula>
    </cfRule>
  </conditionalFormatting>
  <conditionalFormatting sqref="J7:J14">
    <cfRule type="cellIs" priority="13" operator="greaterThanOrEqual" dxfId="0">
      <formula>0.06</formula>
    </cfRule>
    <cfRule type="cellIs" priority="14" operator="between" dxfId="1">
      <formula>0.03</formula>
      <formula>0.06</formula>
    </cfRule>
    <cfRule type="cellIs" priority="15" operator="lessThan" dxfId="2">
      <formula>0.03</formula>
    </cfRule>
  </conditionalFormatting>
  <conditionalFormatting sqref="J18:J25">
    <cfRule type="dataBar" priority="16">
      <dataBar>
        <cfvo type="num" val="0"/>
        <cfvo type="num" val="1"/>
        <color rgb="00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3" customWidth="1" min="6" max="6"/>
    <col width="16" customWidth="1" min="7" max="7"/>
    <col width="18" customWidth="1" min="8" max="8"/>
    <col width="12" customWidth="1" min="9" max="9"/>
    <col width="12" customWidth="1" min="10" max="10"/>
  </cols>
  <sheetData>
    <row r="2">
      <c r="B2" s="1" t="inlineStr">
        <is>
          <t>月次ダッシュボード｜設定・凡例</t>
        </is>
      </c>
    </row>
    <row r="3">
      <c r="B3" s="2" t="inlineStr">
        <is>
          <t>kand pro × イーオンSNS ／ 担当：カン ／ 分析フレームに準拠（kand用/分析/分析フレーム.md）</t>
        </is>
      </c>
    </row>
    <row r="5">
      <c r="B5" s="3" t="inlineStr">
        <is>
          <t>使い方（3ステップ）</t>
        </is>
      </c>
      <c r="G5" s="3" t="inlineStr">
        <is>
          <t>フォロワーKPI（1年目・p27）</t>
        </is>
      </c>
    </row>
    <row r="6">
      <c r="B6" s="10" t="inlineStr">
        <is>
          <t>① 「投稿ログ」タブに、投稿ごとの数字を1行ずつ貼る（黄色いセルだけ入力）。%や当たり判定は自動計算。</t>
        </is>
      </c>
      <c r="G6" s="4" t="inlineStr">
        <is>
          <t>PF</t>
        </is>
      </c>
      <c r="H6" s="4" t="inlineStr">
        <is>
          <t>12ヶ月フォロワー目標</t>
        </is>
      </c>
    </row>
    <row r="7">
      <c r="B7" s="10" t="inlineStr">
        <is>
          <t>② 「月次ダッシュボード」タブで、各月の月末フォロワー数（PF別）を黄色いセルに貼る。</t>
        </is>
      </c>
      <c r="G7" s="11" t="inlineStr">
        <is>
          <t>Instagram</t>
        </is>
      </c>
      <c r="H7" s="12" t="n">
        <v>20000</v>
      </c>
    </row>
    <row r="8">
      <c r="B8" s="10" t="inlineStr">
        <is>
          <t>③ 打率・平均指標・KPI進捗が自動で出る。色（緑=好調／黄=標準／赤=要改善）で一目で分かる。</t>
        </is>
      </c>
      <c r="G8" s="11" t="inlineStr">
        <is>
          <t>TikTok</t>
        </is>
      </c>
      <c r="H8" s="12" t="n">
        <v>50000</v>
      </c>
    </row>
    <row r="9">
      <c r="G9" s="11" t="inlineStr">
        <is>
          <t>Threads</t>
        </is>
      </c>
      <c r="H9" s="12" t="n">
        <v>3000</v>
      </c>
    </row>
    <row r="10">
      <c r="B10" s="3" t="inlineStr">
        <is>
          <t>凡例</t>
        </is>
      </c>
      <c r="G10" s="11" t="inlineStr">
        <is>
          <t>YouTube</t>
        </is>
      </c>
      <c r="H10" s="12" t="n">
        <v>5000</v>
      </c>
    </row>
    <row r="11">
      <c r="B11" s="13" t="inlineStr">
        <is>
          <t>黄色セル</t>
        </is>
      </c>
      <c r="C11" s="10" t="inlineStr">
        <is>
          <t>ここに数字を貼る（入力）</t>
        </is>
      </c>
      <c r="G11" s="14" t="inlineStr">
        <is>
          <t>SNS総フォロワー</t>
        </is>
      </c>
      <c r="H11" s="15" t="n">
        <v>78000</v>
      </c>
    </row>
    <row r="12">
      <c r="B12" s="16" t="inlineStr">
        <is>
          <t>白セル</t>
        </is>
      </c>
      <c r="C12" s="10" t="inlineStr">
        <is>
          <t>自動計算（触らない）</t>
        </is>
      </c>
    </row>
    <row r="13">
      <c r="B13" s="17" t="inlineStr">
        <is>
          <t>緑</t>
        </is>
      </c>
      <c r="C13" s="10" t="inlineStr">
        <is>
          <t>好調＝この型に乗る／続編を作る</t>
        </is>
      </c>
    </row>
    <row r="14">
      <c r="B14" s="18" t="inlineStr">
        <is>
          <t>黄</t>
        </is>
      </c>
      <c r="C14" s="10" t="inlineStr">
        <is>
          <t>標準＝1点だけ直して再挑戦</t>
        </is>
      </c>
    </row>
    <row r="15">
      <c r="B15" s="19" t="inlineStr">
        <is>
          <t>赤</t>
        </is>
      </c>
      <c r="C15" s="10" t="inlineStr">
        <is>
          <t>要改善＝診断ツリーで原因を特定</t>
        </is>
      </c>
    </row>
    <row r="18">
      <c r="B18" s="3" t="inlineStr">
        <is>
          <t>判定しきい値（好調ライン＝この値以上で緑）</t>
        </is>
      </c>
      <c r="G18" s="3" t="inlineStr">
        <is>
          <t>PF別「当たり」基準（KPI p27）</t>
        </is>
      </c>
    </row>
    <row r="19">
      <c r="B19" s="4" t="inlineStr">
        <is>
          <t>指標</t>
        </is>
      </c>
      <c r="C19" s="4" t="inlineStr">
        <is>
          <t>要改善（未満）</t>
        </is>
      </c>
      <c r="D19" s="4" t="inlineStr">
        <is>
          <t>標準</t>
        </is>
      </c>
      <c r="E19" s="4" t="inlineStr">
        <is>
          <t>好調（以上）</t>
        </is>
      </c>
      <c r="G19" s="4" t="inlineStr">
        <is>
          <t>PF</t>
        </is>
      </c>
      <c r="H19" s="4" t="inlineStr">
        <is>
          <t>IMP目標(当たり基準)</t>
        </is>
      </c>
      <c r="I19" s="4" t="inlineStr">
        <is>
          <t>いいね目標</t>
        </is>
      </c>
      <c r="J19" s="4" t="inlineStr">
        <is>
          <t>コメント目標</t>
        </is>
      </c>
    </row>
    <row r="20">
      <c r="B20" s="20" t="inlineStr">
        <is>
          <t>フォロワー外リーチ率</t>
        </is>
      </c>
      <c r="C20" s="21" t="inlineStr">
        <is>
          <t>40%</t>
        </is>
      </c>
      <c r="D20" s="21" t="inlineStr">
        <is>
          <t>40–60%</t>
        </is>
      </c>
      <c r="E20" s="21" t="inlineStr">
        <is>
          <t>60%</t>
        </is>
      </c>
      <c r="G20" s="21" t="inlineStr">
        <is>
          <t>IG-R</t>
        </is>
      </c>
      <c r="H20" s="12" t="n">
        <v>40000</v>
      </c>
      <c r="I20" s="12" t="n">
        <v>1000</v>
      </c>
      <c r="J20" s="12" t="n">
        <v>100</v>
      </c>
    </row>
    <row r="21">
      <c r="B21" s="20" t="inlineStr">
        <is>
          <t>3秒突破率</t>
        </is>
      </c>
      <c r="C21" s="21" t="inlineStr">
        <is>
          <t>50%</t>
        </is>
      </c>
      <c r="D21" s="21" t="inlineStr">
        <is>
          <t>50–65%</t>
        </is>
      </c>
      <c r="E21" s="21" t="inlineStr">
        <is>
          <t>65%</t>
        </is>
      </c>
      <c r="G21" s="21" t="inlineStr">
        <is>
          <t>IG-F</t>
        </is>
      </c>
      <c r="H21" s="12" t="n">
        <v>40000</v>
      </c>
      <c r="I21" s="12" t="n">
        <v>1000</v>
      </c>
      <c r="J21" s="12" t="n">
        <v>100</v>
      </c>
    </row>
    <row r="22">
      <c r="B22" s="20" t="inlineStr">
        <is>
          <t>平均視聴維持率</t>
        </is>
      </c>
      <c r="C22" s="21" t="inlineStr">
        <is>
          <t>40%</t>
        </is>
      </c>
      <c r="D22" s="21" t="inlineStr">
        <is>
          <t>40–55%</t>
        </is>
      </c>
      <c r="E22" s="21" t="inlineStr">
        <is>
          <t>55%</t>
        </is>
      </c>
      <c r="G22" s="21" t="inlineStr">
        <is>
          <t>IG-S</t>
        </is>
      </c>
      <c r="H22" s="12" t="n">
        <v>40000</v>
      </c>
      <c r="I22" s="12" t="n">
        <v>1000</v>
      </c>
      <c r="J22" s="12" t="n">
        <v>100</v>
      </c>
    </row>
    <row r="23">
      <c r="B23" s="20" t="inlineStr">
        <is>
          <t>保存率</t>
        </is>
      </c>
      <c r="C23" s="21" t="inlineStr">
        <is>
          <t>0.5%</t>
        </is>
      </c>
      <c r="D23" s="21" t="inlineStr">
        <is>
          <t>0.5–1.5%</t>
        </is>
      </c>
      <c r="E23" s="21" t="inlineStr">
        <is>
          <t>1.5%</t>
        </is>
      </c>
      <c r="G23" s="21" t="inlineStr">
        <is>
          <t>TT</t>
        </is>
      </c>
      <c r="H23" s="12" t="n">
        <v>60000</v>
      </c>
      <c r="I23" s="12" t="n">
        <v>3000</v>
      </c>
      <c r="J23" s="12" t="n">
        <v>300</v>
      </c>
    </row>
    <row r="24">
      <c r="B24" s="20" t="inlineStr">
        <is>
          <t>いいね率</t>
        </is>
      </c>
      <c r="C24" s="21" t="inlineStr">
        <is>
          <t>3%</t>
        </is>
      </c>
      <c r="D24" s="21" t="inlineStr">
        <is>
          <t>3–6%</t>
        </is>
      </c>
      <c r="E24" s="21" t="inlineStr">
        <is>
          <t>6%</t>
        </is>
      </c>
      <c r="G24" s="21" t="inlineStr">
        <is>
          <t>YT-S</t>
        </is>
      </c>
      <c r="H24" s="21" t="inlineStr">
        <is>
          <t>—</t>
        </is>
      </c>
      <c r="I24" s="21" t="inlineStr">
        <is>
          <t>—</t>
        </is>
      </c>
      <c r="J24" s="21" t="inlineStr">
        <is>
          <t>—</t>
        </is>
      </c>
    </row>
    <row r="25">
      <c r="B25" s="20" t="inlineStr">
        <is>
          <t>シェア率</t>
        </is>
      </c>
      <c r="C25" s="21" t="inlineStr">
        <is>
          <t>0.5%</t>
        </is>
      </c>
      <c r="D25" s="21" t="inlineStr">
        <is>
          <t>0.5–1%</t>
        </is>
      </c>
      <c r="E25" s="21" t="inlineStr">
        <is>
          <t>1%</t>
        </is>
      </c>
      <c r="G25" s="22" t="inlineStr">
        <is>
          <t>※YT-SはIMP目標未設定（p27）→当たり判定は「-」</t>
        </is>
      </c>
    </row>
    <row r="26">
      <c r="B26" s="20" t="inlineStr">
        <is>
          <t>フォロー転換率</t>
        </is>
      </c>
      <c r="C26" s="21" t="inlineStr">
        <is>
          <t>1%</t>
        </is>
      </c>
      <c r="D26" s="21" t="inlineStr">
        <is>
          <t>1–2%</t>
        </is>
      </c>
      <c r="E26" s="21" t="inlineStr">
        <is>
          <t>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9" customWidth="1" min="4" max="4"/>
    <col width="11" customWidth="1" min="5" max="5"/>
    <col width="11" customWidth="1" min="6" max="6"/>
    <col width="9" customWidth="1" min="7" max="7"/>
    <col width="9" customWidth="1" min="8" max="8"/>
    <col width="7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8" customWidth="1" min="23" max="23"/>
  </cols>
  <sheetData>
    <row r="1">
      <c r="A1" s="23" t="inlineStr">
        <is>
          <t>投稿ログ｜投稿ごとに1行、黄色セルに数字を貼る（%と当たりは自動）</t>
        </is>
      </c>
    </row>
    <row r="2">
      <c r="A2" s="2" t="inlineStr">
        <is>
          <t>↓ 4行目は記入例（集計には含めません）。5行目から入力してください。</t>
        </is>
      </c>
    </row>
    <row r="3" ht="28" customHeight="1">
      <c r="A3" s="4" t="inlineStr">
        <is>
          <t>投稿日</t>
        </is>
      </c>
      <c r="B3" s="4" t="inlineStr">
        <is>
          <t>月</t>
        </is>
      </c>
      <c r="C3" s="4" t="inlineStr">
        <is>
          <t>投稿名</t>
        </is>
      </c>
      <c r="D3" s="4" t="inlineStr">
        <is>
          <t>PF</t>
        </is>
      </c>
      <c r="E3" s="4" t="inlineStr">
        <is>
          <t>リーチ</t>
        </is>
      </c>
      <c r="F3" s="4" t="inlineStr">
        <is>
          <t>ﾌｫﾛﾜｰ外
リーチ</t>
        </is>
      </c>
      <c r="G3" s="4" t="inlineStr">
        <is>
          <t>3秒
突破数</t>
        </is>
      </c>
      <c r="H3" s="4" t="inlineStr">
        <is>
          <t>平均視聴
秒</t>
        </is>
      </c>
      <c r="I3" s="4" t="inlineStr">
        <is>
          <t>尺
秒</t>
        </is>
      </c>
      <c r="J3" s="4" t="inlineStr">
        <is>
          <t>保存</t>
        </is>
      </c>
      <c r="K3" s="4" t="inlineStr">
        <is>
          <t>いいね</t>
        </is>
      </c>
      <c r="L3" s="4" t="inlineStr">
        <is>
          <t>コメント</t>
        </is>
      </c>
      <c r="M3" s="4" t="inlineStr">
        <is>
          <t>シェア</t>
        </is>
      </c>
      <c r="N3" s="4" t="inlineStr">
        <is>
          <t>新規
フォロー</t>
        </is>
      </c>
      <c r="O3" s="4" t="inlineStr">
        <is>
          <t>ﾌｫﾛﾜｰ外%</t>
        </is>
      </c>
      <c r="P3" s="4" t="inlineStr">
        <is>
          <t>3秒突破%</t>
        </is>
      </c>
      <c r="Q3" s="4" t="inlineStr">
        <is>
          <t>維持%</t>
        </is>
      </c>
      <c r="R3" s="4" t="inlineStr">
        <is>
          <t>保存%</t>
        </is>
      </c>
      <c r="S3" s="4" t="inlineStr">
        <is>
          <t>いいね%</t>
        </is>
      </c>
      <c r="T3" s="4" t="inlineStr">
        <is>
          <t>シェア%</t>
        </is>
      </c>
      <c r="U3" s="4" t="inlineStr">
        <is>
          <t>ﾌｫﾛｰ転換%</t>
        </is>
      </c>
      <c r="V3" s="4" t="inlineStr">
        <is>
          <t>目標IMP</t>
        </is>
      </c>
      <c r="W3" s="4" t="inlineStr">
        <is>
          <t>当たり</t>
        </is>
      </c>
    </row>
    <row r="4">
      <c r="A4" s="24" t="inlineStr">
        <is>
          <t>2026-08-10</t>
        </is>
      </c>
      <c r="B4" s="24">
        <f>IF(A4="","",TEXT(A4,"YYYY-MM"))</f>
        <v/>
      </c>
      <c r="C4" s="24" t="inlineStr">
        <is>
          <t>（例）05 学校で習った英語</t>
        </is>
      </c>
      <c r="D4" s="24" t="inlineStr">
        <is>
          <t>IG-R</t>
        </is>
      </c>
      <c r="E4" s="24" t="n">
        <v>52000</v>
      </c>
      <c r="F4" s="24" t="n">
        <v>34000</v>
      </c>
      <c r="G4" s="24" t="n">
        <v>33000</v>
      </c>
      <c r="H4" s="24" t="n">
        <v>18</v>
      </c>
      <c r="I4" s="24" t="n">
        <v>32</v>
      </c>
      <c r="J4" s="24" t="n">
        <v>900</v>
      </c>
      <c r="K4" s="24" t="n">
        <v>2600</v>
      </c>
      <c r="L4" s="24" t="n">
        <v>140</v>
      </c>
      <c r="M4" s="24" t="n">
        <v>620</v>
      </c>
      <c r="N4" s="24" t="n">
        <v>1100</v>
      </c>
      <c r="O4" s="24">
        <f>IFERROR(F4/E4,"")</f>
        <v/>
      </c>
      <c r="P4" s="24">
        <f>IFERROR(G4/E4,"")</f>
        <v/>
      </c>
      <c r="Q4" s="24">
        <f>IFERROR(H4/I4,"")</f>
        <v/>
      </c>
      <c r="R4" s="24">
        <f>IFERROR(J4/E4,"")</f>
        <v/>
      </c>
      <c r="S4" s="24">
        <f>IFERROR(K4/E4,"")</f>
        <v/>
      </c>
      <c r="T4" s="24">
        <f>IFERROR(M4/E4,"")</f>
        <v/>
      </c>
      <c r="U4" s="24">
        <f>IFERROR(N4/E4,"")</f>
        <v/>
      </c>
      <c r="V4" s="24">
        <f>IFERROR(INDEX('設定・凡例'!$H$20:$H$24,MATCH(D4,'設定・凡例'!$G$20:$G$24,0)),"")</f>
        <v/>
      </c>
      <c r="W4" s="24">
        <f>IF(E4="","",IF(ISNUMBER(V4),IF(E4&gt;=V4,"○","×"),"-"))</f>
        <v/>
      </c>
    </row>
    <row r="5">
      <c r="A5" s="25" t="n"/>
      <c r="B5" s="26">
        <f>IF(A5="","",TEXT(A5,"YYYY-MM"))</f>
        <v/>
      </c>
      <c r="C5" s="27" t="n"/>
      <c r="D5" s="27" t="n"/>
      <c r="E5" s="9" t="n"/>
      <c r="F5" s="9" t="n"/>
      <c r="G5" s="9" t="n"/>
      <c r="H5" s="28" t="n"/>
      <c r="I5" s="28" t="n"/>
      <c r="J5" s="9" t="n"/>
      <c r="K5" s="9" t="n"/>
      <c r="L5" s="9" t="n"/>
      <c r="M5" s="9" t="n"/>
      <c r="N5" s="9" t="n"/>
      <c r="O5" s="7">
        <f>IFERROR(F5/E5,"")</f>
        <v/>
      </c>
      <c r="P5" s="7">
        <f>IFERROR(G5/E5,"")</f>
        <v/>
      </c>
      <c r="Q5" s="7">
        <f>IFERROR(H5/I5,"")</f>
        <v/>
      </c>
      <c r="R5" s="7">
        <f>IFERROR(J5/E5,"")</f>
        <v/>
      </c>
      <c r="S5" s="7">
        <f>IFERROR(K5/E5,"")</f>
        <v/>
      </c>
      <c r="T5" s="7">
        <f>IFERROR(M5/E5,"")</f>
        <v/>
      </c>
      <c r="U5" s="7">
        <f>IFERROR(N5/E5,"")</f>
        <v/>
      </c>
      <c r="V5" s="6">
        <f>IFERROR(INDEX('設定・凡例'!$H$20:$H$24,MATCH(D5,'設定・凡例'!$G$20:$G$24,0)),"")</f>
        <v/>
      </c>
      <c r="W5" s="26">
        <f>IF(E5="","",IF(ISNUMBER(V5),IF(E5&gt;=V5,"○","×"),"-"))</f>
        <v/>
      </c>
    </row>
    <row r="6">
      <c r="A6" s="25" t="n"/>
      <c r="B6" s="26">
        <f>IF(A6="","",TEXT(A6,"YYYY-MM"))</f>
        <v/>
      </c>
      <c r="C6" s="27" t="n"/>
      <c r="D6" s="27" t="n"/>
      <c r="E6" s="9" t="n"/>
      <c r="F6" s="9" t="n"/>
      <c r="G6" s="9" t="n"/>
      <c r="H6" s="28" t="n"/>
      <c r="I6" s="28" t="n"/>
      <c r="J6" s="9" t="n"/>
      <c r="K6" s="9" t="n"/>
      <c r="L6" s="9" t="n"/>
      <c r="M6" s="9" t="n"/>
      <c r="N6" s="9" t="n"/>
      <c r="O6" s="7">
        <f>IFERROR(F6/E6,"")</f>
        <v/>
      </c>
      <c r="P6" s="7">
        <f>IFERROR(G6/E6,"")</f>
        <v/>
      </c>
      <c r="Q6" s="7">
        <f>IFERROR(H6/I6,"")</f>
        <v/>
      </c>
      <c r="R6" s="7">
        <f>IFERROR(J6/E6,"")</f>
        <v/>
      </c>
      <c r="S6" s="7">
        <f>IFERROR(K6/E6,"")</f>
        <v/>
      </c>
      <c r="T6" s="7">
        <f>IFERROR(M6/E6,"")</f>
        <v/>
      </c>
      <c r="U6" s="7">
        <f>IFERROR(N6/E6,"")</f>
        <v/>
      </c>
      <c r="V6" s="6">
        <f>IFERROR(INDEX('設定・凡例'!$H$20:$H$24,MATCH(D6,'設定・凡例'!$G$20:$G$24,0)),"")</f>
        <v/>
      </c>
      <c r="W6" s="26">
        <f>IF(E6="","",IF(ISNUMBER(V6),IF(E6&gt;=V6,"○","×"),"-"))</f>
        <v/>
      </c>
    </row>
    <row r="7">
      <c r="A7" s="25" t="n"/>
      <c r="B7" s="26">
        <f>IF(A7="","",TEXT(A7,"YYYY-MM"))</f>
        <v/>
      </c>
      <c r="C7" s="27" t="n"/>
      <c r="D7" s="27" t="n"/>
      <c r="E7" s="9" t="n"/>
      <c r="F7" s="9" t="n"/>
      <c r="G7" s="9" t="n"/>
      <c r="H7" s="28" t="n"/>
      <c r="I7" s="28" t="n"/>
      <c r="J7" s="9" t="n"/>
      <c r="K7" s="9" t="n"/>
      <c r="L7" s="9" t="n"/>
      <c r="M7" s="9" t="n"/>
      <c r="N7" s="9" t="n"/>
      <c r="O7" s="7">
        <f>IFERROR(F7/E7,"")</f>
        <v/>
      </c>
      <c r="P7" s="7">
        <f>IFERROR(G7/E7,"")</f>
        <v/>
      </c>
      <c r="Q7" s="7">
        <f>IFERROR(H7/I7,"")</f>
        <v/>
      </c>
      <c r="R7" s="7">
        <f>IFERROR(J7/E7,"")</f>
        <v/>
      </c>
      <c r="S7" s="7">
        <f>IFERROR(K7/E7,"")</f>
        <v/>
      </c>
      <c r="T7" s="7">
        <f>IFERROR(M7/E7,"")</f>
        <v/>
      </c>
      <c r="U7" s="7">
        <f>IFERROR(N7/E7,"")</f>
        <v/>
      </c>
      <c r="V7" s="6">
        <f>IFERROR(INDEX('設定・凡例'!$H$20:$H$24,MATCH(D7,'設定・凡例'!$G$20:$G$24,0)),"")</f>
        <v/>
      </c>
      <c r="W7" s="26">
        <f>IF(E7="","",IF(ISNUMBER(V7),IF(E7&gt;=V7,"○","×"),"-"))</f>
        <v/>
      </c>
    </row>
    <row r="8">
      <c r="A8" s="25" t="n"/>
      <c r="B8" s="26">
        <f>IF(A8="","",TEXT(A8,"YYYY-MM"))</f>
        <v/>
      </c>
      <c r="C8" s="27" t="n"/>
      <c r="D8" s="27" t="n"/>
      <c r="E8" s="9" t="n"/>
      <c r="F8" s="9" t="n"/>
      <c r="G8" s="9" t="n"/>
      <c r="H8" s="28" t="n"/>
      <c r="I8" s="28" t="n"/>
      <c r="J8" s="9" t="n"/>
      <c r="K8" s="9" t="n"/>
      <c r="L8" s="9" t="n"/>
      <c r="M8" s="9" t="n"/>
      <c r="N8" s="9" t="n"/>
      <c r="O8" s="7">
        <f>IFERROR(F8/E8,"")</f>
        <v/>
      </c>
      <c r="P8" s="7">
        <f>IFERROR(G8/E8,"")</f>
        <v/>
      </c>
      <c r="Q8" s="7">
        <f>IFERROR(H8/I8,"")</f>
        <v/>
      </c>
      <c r="R8" s="7">
        <f>IFERROR(J8/E8,"")</f>
        <v/>
      </c>
      <c r="S8" s="7">
        <f>IFERROR(K8/E8,"")</f>
        <v/>
      </c>
      <c r="T8" s="7">
        <f>IFERROR(M8/E8,"")</f>
        <v/>
      </c>
      <c r="U8" s="7">
        <f>IFERROR(N8/E8,"")</f>
        <v/>
      </c>
      <c r="V8" s="6">
        <f>IFERROR(INDEX('設定・凡例'!$H$20:$H$24,MATCH(D8,'設定・凡例'!$G$20:$G$24,0)),"")</f>
        <v/>
      </c>
      <c r="W8" s="26">
        <f>IF(E8="","",IF(ISNUMBER(V8),IF(E8&gt;=V8,"○","×"),"-"))</f>
        <v/>
      </c>
    </row>
    <row r="9">
      <c r="A9" s="25" t="n"/>
      <c r="B9" s="26">
        <f>IF(A9="","",TEXT(A9,"YYYY-MM"))</f>
        <v/>
      </c>
      <c r="C9" s="27" t="n"/>
      <c r="D9" s="27" t="n"/>
      <c r="E9" s="9" t="n"/>
      <c r="F9" s="9" t="n"/>
      <c r="G9" s="9" t="n"/>
      <c r="H9" s="28" t="n"/>
      <c r="I9" s="28" t="n"/>
      <c r="J9" s="9" t="n"/>
      <c r="K9" s="9" t="n"/>
      <c r="L9" s="9" t="n"/>
      <c r="M9" s="9" t="n"/>
      <c r="N9" s="9" t="n"/>
      <c r="O9" s="7">
        <f>IFERROR(F9/E9,"")</f>
        <v/>
      </c>
      <c r="P9" s="7">
        <f>IFERROR(G9/E9,"")</f>
        <v/>
      </c>
      <c r="Q9" s="7">
        <f>IFERROR(H9/I9,"")</f>
        <v/>
      </c>
      <c r="R9" s="7">
        <f>IFERROR(J9/E9,"")</f>
        <v/>
      </c>
      <c r="S9" s="7">
        <f>IFERROR(K9/E9,"")</f>
        <v/>
      </c>
      <c r="T9" s="7">
        <f>IFERROR(M9/E9,"")</f>
        <v/>
      </c>
      <c r="U9" s="7">
        <f>IFERROR(N9/E9,"")</f>
        <v/>
      </c>
      <c r="V9" s="6">
        <f>IFERROR(INDEX('設定・凡例'!$H$20:$H$24,MATCH(D9,'設定・凡例'!$G$20:$G$24,0)),"")</f>
        <v/>
      </c>
      <c r="W9" s="26">
        <f>IF(E9="","",IF(ISNUMBER(V9),IF(E9&gt;=V9,"○","×"),"-"))</f>
        <v/>
      </c>
    </row>
    <row r="10">
      <c r="A10" s="25" t="n"/>
      <c r="B10" s="26">
        <f>IF(A10="","",TEXT(A10,"YYYY-MM"))</f>
        <v/>
      </c>
      <c r="C10" s="27" t="n"/>
      <c r="D10" s="27" t="n"/>
      <c r="E10" s="9" t="n"/>
      <c r="F10" s="9" t="n"/>
      <c r="G10" s="9" t="n"/>
      <c r="H10" s="28" t="n"/>
      <c r="I10" s="28" t="n"/>
      <c r="J10" s="9" t="n"/>
      <c r="K10" s="9" t="n"/>
      <c r="L10" s="9" t="n"/>
      <c r="M10" s="9" t="n"/>
      <c r="N10" s="9" t="n"/>
      <c r="O10" s="7">
        <f>IFERROR(F10/E10,"")</f>
        <v/>
      </c>
      <c r="P10" s="7">
        <f>IFERROR(G10/E10,"")</f>
        <v/>
      </c>
      <c r="Q10" s="7">
        <f>IFERROR(H10/I10,"")</f>
        <v/>
      </c>
      <c r="R10" s="7">
        <f>IFERROR(J10/E10,"")</f>
        <v/>
      </c>
      <c r="S10" s="7">
        <f>IFERROR(K10/E10,"")</f>
        <v/>
      </c>
      <c r="T10" s="7">
        <f>IFERROR(M10/E10,"")</f>
        <v/>
      </c>
      <c r="U10" s="7">
        <f>IFERROR(N10/E10,"")</f>
        <v/>
      </c>
      <c r="V10" s="6">
        <f>IFERROR(INDEX('設定・凡例'!$H$20:$H$24,MATCH(D10,'設定・凡例'!$G$20:$G$24,0)),"")</f>
        <v/>
      </c>
      <c r="W10" s="26">
        <f>IF(E10="","",IF(ISNUMBER(V10),IF(E10&gt;=V10,"○","×"),"-"))</f>
        <v/>
      </c>
    </row>
    <row r="11">
      <c r="A11" s="25" t="n"/>
      <c r="B11" s="26">
        <f>IF(A11="","",TEXT(A11,"YYYY-MM"))</f>
        <v/>
      </c>
      <c r="C11" s="27" t="n"/>
      <c r="D11" s="27" t="n"/>
      <c r="E11" s="9" t="n"/>
      <c r="F11" s="9" t="n"/>
      <c r="G11" s="9" t="n"/>
      <c r="H11" s="28" t="n"/>
      <c r="I11" s="28" t="n"/>
      <c r="J11" s="9" t="n"/>
      <c r="K11" s="9" t="n"/>
      <c r="L11" s="9" t="n"/>
      <c r="M11" s="9" t="n"/>
      <c r="N11" s="9" t="n"/>
      <c r="O11" s="7">
        <f>IFERROR(F11/E11,"")</f>
        <v/>
      </c>
      <c r="P11" s="7">
        <f>IFERROR(G11/E11,"")</f>
        <v/>
      </c>
      <c r="Q11" s="7">
        <f>IFERROR(H11/I11,"")</f>
        <v/>
      </c>
      <c r="R11" s="7">
        <f>IFERROR(J11/E11,"")</f>
        <v/>
      </c>
      <c r="S11" s="7">
        <f>IFERROR(K11/E11,"")</f>
        <v/>
      </c>
      <c r="T11" s="7">
        <f>IFERROR(M11/E11,"")</f>
        <v/>
      </c>
      <c r="U11" s="7">
        <f>IFERROR(N11/E11,"")</f>
        <v/>
      </c>
      <c r="V11" s="6">
        <f>IFERROR(INDEX('設定・凡例'!$H$20:$H$24,MATCH(D11,'設定・凡例'!$G$20:$G$24,0)),"")</f>
        <v/>
      </c>
      <c r="W11" s="26">
        <f>IF(E11="","",IF(ISNUMBER(V11),IF(E11&gt;=V11,"○","×"),"-"))</f>
        <v/>
      </c>
    </row>
    <row r="12">
      <c r="A12" s="25" t="n"/>
      <c r="B12" s="26">
        <f>IF(A12="","",TEXT(A12,"YYYY-MM"))</f>
        <v/>
      </c>
      <c r="C12" s="27" t="n"/>
      <c r="D12" s="27" t="n"/>
      <c r="E12" s="9" t="n"/>
      <c r="F12" s="9" t="n"/>
      <c r="G12" s="9" t="n"/>
      <c r="H12" s="28" t="n"/>
      <c r="I12" s="28" t="n"/>
      <c r="J12" s="9" t="n"/>
      <c r="K12" s="9" t="n"/>
      <c r="L12" s="9" t="n"/>
      <c r="M12" s="9" t="n"/>
      <c r="N12" s="9" t="n"/>
      <c r="O12" s="7">
        <f>IFERROR(F12/E12,"")</f>
        <v/>
      </c>
      <c r="P12" s="7">
        <f>IFERROR(G12/E12,"")</f>
        <v/>
      </c>
      <c r="Q12" s="7">
        <f>IFERROR(H12/I12,"")</f>
        <v/>
      </c>
      <c r="R12" s="7">
        <f>IFERROR(J12/E12,"")</f>
        <v/>
      </c>
      <c r="S12" s="7">
        <f>IFERROR(K12/E12,"")</f>
        <v/>
      </c>
      <c r="T12" s="7">
        <f>IFERROR(M12/E12,"")</f>
        <v/>
      </c>
      <c r="U12" s="7">
        <f>IFERROR(N12/E12,"")</f>
        <v/>
      </c>
      <c r="V12" s="6">
        <f>IFERROR(INDEX('設定・凡例'!$H$20:$H$24,MATCH(D12,'設定・凡例'!$G$20:$G$24,0)),"")</f>
        <v/>
      </c>
      <c r="W12" s="26">
        <f>IF(E12="","",IF(ISNUMBER(V12),IF(E12&gt;=V12,"○","×"),"-"))</f>
        <v/>
      </c>
    </row>
    <row r="13">
      <c r="A13" s="25" t="n"/>
      <c r="B13" s="26">
        <f>IF(A13="","",TEXT(A13,"YYYY-MM"))</f>
        <v/>
      </c>
      <c r="C13" s="27" t="n"/>
      <c r="D13" s="27" t="n"/>
      <c r="E13" s="9" t="n"/>
      <c r="F13" s="9" t="n"/>
      <c r="G13" s="9" t="n"/>
      <c r="H13" s="28" t="n"/>
      <c r="I13" s="28" t="n"/>
      <c r="J13" s="9" t="n"/>
      <c r="K13" s="9" t="n"/>
      <c r="L13" s="9" t="n"/>
      <c r="M13" s="9" t="n"/>
      <c r="N13" s="9" t="n"/>
      <c r="O13" s="7">
        <f>IFERROR(F13/E13,"")</f>
        <v/>
      </c>
      <c r="P13" s="7">
        <f>IFERROR(G13/E13,"")</f>
        <v/>
      </c>
      <c r="Q13" s="7">
        <f>IFERROR(H13/I13,"")</f>
        <v/>
      </c>
      <c r="R13" s="7">
        <f>IFERROR(J13/E13,"")</f>
        <v/>
      </c>
      <c r="S13" s="7">
        <f>IFERROR(K13/E13,"")</f>
        <v/>
      </c>
      <c r="T13" s="7">
        <f>IFERROR(M13/E13,"")</f>
        <v/>
      </c>
      <c r="U13" s="7">
        <f>IFERROR(N13/E13,"")</f>
        <v/>
      </c>
      <c r="V13" s="6">
        <f>IFERROR(INDEX('設定・凡例'!$H$20:$H$24,MATCH(D13,'設定・凡例'!$G$20:$G$24,0)),"")</f>
        <v/>
      </c>
      <c r="W13" s="26">
        <f>IF(E13="","",IF(ISNUMBER(V13),IF(E13&gt;=V13,"○","×"),"-"))</f>
        <v/>
      </c>
    </row>
    <row r="14">
      <c r="A14" s="25" t="n"/>
      <c r="B14" s="26">
        <f>IF(A14="","",TEXT(A14,"YYYY-MM"))</f>
        <v/>
      </c>
      <c r="C14" s="27" t="n"/>
      <c r="D14" s="27" t="n"/>
      <c r="E14" s="9" t="n"/>
      <c r="F14" s="9" t="n"/>
      <c r="G14" s="9" t="n"/>
      <c r="H14" s="28" t="n"/>
      <c r="I14" s="28" t="n"/>
      <c r="J14" s="9" t="n"/>
      <c r="K14" s="9" t="n"/>
      <c r="L14" s="9" t="n"/>
      <c r="M14" s="9" t="n"/>
      <c r="N14" s="9" t="n"/>
      <c r="O14" s="7">
        <f>IFERROR(F14/E14,"")</f>
        <v/>
      </c>
      <c r="P14" s="7">
        <f>IFERROR(G14/E14,"")</f>
        <v/>
      </c>
      <c r="Q14" s="7">
        <f>IFERROR(H14/I14,"")</f>
        <v/>
      </c>
      <c r="R14" s="7">
        <f>IFERROR(J14/E14,"")</f>
        <v/>
      </c>
      <c r="S14" s="7">
        <f>IFERROR(K14/E14,"")</f>
        <v/>
      </c>
      <c r="T14" s="7">
        <f>IFERROR(M14/E14,"")</f>
        <v/>
      </c>
      <c r="U14" s="7">
        <f>IFERROR(N14/E14,"")</f>
        <v/>
      </c>
      <c r="V14" s="6">
        <f>IFERROR(INDEX('設定・凡例'!$H$20:$H$24,MATCH(D14,'設定・凡例'!$G$20:$G$24,0)),"")</f>
        <v/>
      </c>
      <c r="W14" s="26">
        <f>IF(E14="","",IF(ISNUMBER(V14),IF(E14&gt;=V14,"○","×"),"-"))</f>
        <v/>
      </c>
    </row>
    <row r="15">
      <c r="A15" s="25" t="n"/>
      <c r="B15" s="26">
        <f>IF(A15="","",TEXT(A15,"YYYY-MM"))</f>
        <v/>
      </c>
      <c r="C15" s="27" t="n"/>
      <c r="D15" s="27" t="n"/>
      <c r="E15" s="9" t="n"/>
      <c r="F15" s="9" t="n"/>
      <c r="G15" s="9" t="n"/>
      <c r="H15" s="28" t="n"/>
      <c r="I15" s="28" t="n"/>
      <c r="J15" s="9" t="n"/>
      <c r="K15" s="9" t="n"/>
      <c r="L15" s="9" t="n"/>
      <c r="M15" s="9" t="n"/>
      <c r="N15" s="9" t="n"/>
      <c r="O15" s="7">
        <f>IFERROR(F15/E15,"")</f>
        <v/>
      </c>
      <c r="P15" s="7">
        <f>IFERROR(G15/E15,"")</f>
        <v/>
      </c>
      <c r="Q15" s="7">
        <f>IFERROR(H15/I15,"")</f>
        <v/>
      </c>
      <c r="R15" s="7">
        <f>IFERROR(J15/E15,"")</f>
        <v/>
      </c>
      <c r="S15" s="7">
        <f>IFERROR(K15/E15,"")</f>
        <v/>
      </c>
      <c r="T15" s="7">
        <f>IFERROR(M15/E15,"")</f>
        <v/>
      </c>
      <c r="U15" s="7">
        <f>IFERROR(N15/E15,"")</f>
        <v/>
      </c>
      <c r="V15" s="6">
        <f>IFERROR(INDEX('設定・凡例'!$H$20:$H$24,MATCH(D15,'設定・凡例'!$G$20:$G$24,0)),"")</f>
        <v/>
      </c>
      <c r="W15" s="26">
        <f>IF(E15="","",IF(ISNUMBER(V15),IF(E15&gt;=V15,"○","×"),"-"))</f>
        <v/>
      </c>
    </row>
    <row r="16">
      <c r="A16" s="25" t="n"/>
      <c r="B16" s="26">
        <f>IF(A16="","",TEXT(A16,"YYYY-MM"))</f>
        <v/>
      </c>
      <c r="C16" s="27" t="n"/>
      <c r="D16" s="27" t="n"/>
      <c r="E16" s="9" t="n"/>
      <c r="F16" s="9" t="n"/>
      <c r="G16" s="9" t="n"/>
      <c r="H16" s="28" t="n"/>
      <c r="I16" s="28" t="n"/>
      <c r="J16" s="9" t="n"/>
      <c r="K16" s="9" t="n"/>
      <c r="L16" s="9" t="n"/>
      <c r="M16" s="9" t="n"/>
      <c r="N16" s="9" t="n"/>
      <c r="O16" s="7">
        <f>IFERROR(F16/E16,"")</f>
        <v/>
      </c>
      <c r="P16" s="7">
        <f>IFERROR(G16/E16,"")</f>
        <v/>
      </c>
      <c r="Q16" s="7">
        <f>IFERROR(H16/I16,"")</f>
        <v/>
      </c>
      <c r="R16" s="7">
        <f>IFERROR(J16/E16,"")</f>
        <v/>
      </c>
      <c r="S16" s="7">
        <f>IFERROR(K16/E16,"")</f>
        <v/>
      </c>
      <c r="T16" s="7">
        <f>IFERROR(M16/E16,"")</f>
        <v/>
      </c>
      <c r="U16" s="7">
        <f>IFERROR(N16/E16,"")</f>
        <v/>
      </c>
      <c r="V16" s="6">
        <f>IFERROR(INDEX('設定・凡例'!$H$20:$H$24,MATCH(D16,'設定・凡例'!$G$20:$G$24,0)),"")</f>
        <v/>
      </c>
      <c r="W16" s="26">
        <f>IF(E16="","",IF(ISNUMBER(V16),IF(E16&gt;=V16,"○","×"),"-"))</f>
        <v/>
      </c>
    </row>
    <row r="17">
      <c r="A17" s="25" t="n"/>
      <c r="B17" s="26">
        <f>IF(A17="","",TEXT(A17,"YYYY-MM"))</f>
        <v/>
      </c>
      <c r="C17" s="27" t="n"/>
      <c r="D17" s="27" t="n"/>
      <c r="E17" s="9" t="n"/>
      <c r="F17" s="9" t="n"/>
      <c r="G17" s="9" t="n"/>
      <c r="H17" s="28" t="n"/>
      <c r="I17" s="28" t="n"/>
      <c r="J17" s="9" t="n"/>
      <c r="K17" s="9" t="n"/>
      <c r="L17" s="9" t="n"/>
      <c r="M17" s="9" t="n"/>
      <c r="N17" s="9" t="n"/>
      <c r="O17" s="7">
        <f>IFERROR(F17/E17,"")</f>
        <v/>
      </c>
      <c r="P17" s="7">
        <f>IFERROR(G17/E17,"")</f>
        <v/>
      </c>
      <c r="Q17" s="7">
        <f>IFERROR(H17/I17,"")</f>
        <v/>
      </c>
      <c r="R17" s="7">
        <f>IFERROR(J17/E17,"")</f>
        <v/>
      </c>
      <c r="S17" s="7">
        <f>IFERROR(K17/E17,"")</f>
        <v/>
      </c>
      <c r="T17" s="7">
        <f>IFERROR(M17/E17,"")</f>
        <v/>
      </c>
      <c r="U17" s="7">
        <f>IFERROR(N17/E17,"")</f>
        <v/>
      </c>
      <c r="V17" s="6">
        <f>IFERROR(INDEX('設定・凡例'!$H$20:$H$24,MATCH(D17,'設定・凡例'!$G$20:$G$24,0)),"")</f>
        <v/>
      </c>
      <c r="W17" s="26">
        <f>IF(E17="","",IF(ISNUMBER(V17),IF(E17&gt;=V17,"○","×"),"-"))</f>
        <v/>
      </c>
    </row>
    <row r="18">
      <c r="A18" s="25" t="n"/>
      <c r="B18" s="26">
        <f>IF(A18="","",TEXT(A18,"YYYY-MM"))</f>
        <v/>
      </c>
      <c r="C18" s="27" t="n"/>
      <c r="D18" s="27" t="n"/>
      <c r="E18" s="9" t="n"/>
      <c r="F18" s="9" t="n"/>
      <c r="G18" s="9" t="n"/>
      <c r="H18" s="28" t="n"/>
      <c r="I18" s="28" t="n"/>
      <c r="J18" s="9" t="n"/>
      <c r="K18" s="9" t="n"/>
      <c r="L18" s="9" t="n"/>
      <c r="M18" s="9" t="n"/>
      <c r="N18" s="9" t="n"/>
      <c r="O18" s="7">
        <f>IFERROR(F18/E18,"")</f>
        <v/>
      </c>
      <c r="P18" s="7">
        <f>IFERROR(G18/E18,"")</f>
        <v/>
      </c>
      <c r="Q18" s="7">
        <f>IFERROR(H18/I18,"")</f>
        <v/>
      </c>
      <c r="R18" s="7">
        <f>IFERROR(J18/E18,"")</f>
        <v/>
      </c>
      <c r="S18" s="7">
        <f>IFERROR(K18/E18,"")</f>
        <v/>
      </c>
      <c r="T18" s="7">
        <f>IFERROR(M18/E18,"")</f>
        <v/>
      </c>
      <c r="U18" s="7">
        <f>IFERROR(N18/E18,"")</f>
        <v/>
      </c>
      <c r="V18" s="6">
        <f>IFERROR(INDEX('設定・凡例'!$H$20:$H$24,MATCH(D18,'設定・凡例'!$G$20:$G$24,0)),"")</f>
        <v/>
      </c>
      <c r="W18" s="26">
        <f>IF(E18="","",IF(ISNUMBER(V18),IF(E18&gt;=V18,"○","×"),"-"))</f>
        <v/>
      </c>
    </row>
    <row r="19">
      <c r="A19" s="25" t="n"/>
      <c r="B19" s="26">
        <f>IF(A19="","",TEXT(A19,"YYYY-MM"))</f>
        <v/>
      </c>
      <c r="C19" s="27" t="n"/>
      <c r="D19" s="27" t="n"/>
      <c r="E19" s="9" t="n"/>
      <c r="F19" s="9" t="n"/>
      <c r="G19" s="9" t="n"/>
      <c r="H19" s="28" t="n"/>
      <c r="I19" s="28" t="n"/>
      <c r="J19" s="9" t="n"/>
      <c r="K19" s="9" t="n"/>
      <c r="L19" s="9" t="n"/>
      <c r="M19" s="9" t="n"/>
      <c r="N19" s="9" t="n"/>
      <c r="O19" s="7">
        <f>IFERROR(F19/E19,"")</f>
        <v/>
      </c>
      <c r="P19" s="7">
        <f>IFERROR(G19/E19,"")</f>
        <v/>
      </c>
      <c r="Q19" s="7">
        <f>IFERROR(H19/I19,"")</f>
        <v/>
      </c>
      <c r="R19" s="7">
        <f>IFERROR(J19/E19,"")</f>
        <v/>
      </c>
      <c r="S19" s="7">
        <f>IFERROR(K19/E19,"")</f>
        <v/>
      </c>
      <c r="T19" s="7">
        <f>IFERROR(M19/E19,"")</f>
        <v/>
      </c>
      <c r="U19" s="7">
        <f>IFERROR(N19/E19,"")</f>
        <v/>
      </c>
      <c r="V19" s="6">
        <f>IFERROR(INDEX('設定・凡例'!$H$20:$H$24,MATCH(D19,'設定・凡例'!$G$20:$G$24,0)),"")</f>
        <v/>
      </c>
      <c r="W19" s="26">
        <f>IF(E19="","",IF(ISNUMBER(V19),IF(E19&gt;=V19,"○","×"),"-"))</f>
        <v/>
      </c>
    </row>
    <row r="20">
      <c r="A20" s="25" t="n"/>
      <c r="B20" s="26">
        <f>IF(A20="","",TEXT(A20,"YYYY-MM"))</f>
        <v/>
      </c>
      <c r="C20" s="27" t="n"/>
      <c r="D20" s="27" t="n"/>
      <c r="E20" s="9" t="n"/>
      <c r="F20" s="9" t="n"/>
      <c r="G20" s="9" t="n"/>
      <c r="H20" s="28" t="n"/>
      <c r="I20" s="28" t="n"/>
      <c r="J20" s="9" t="n"/>
      <c r="K20" s="9" t="n"/>
      <c r="L20" s="9" t="n"/>
      <c r="M20" s="9" t="n"/>
      <c r="N20" s="9" t="n"/>
      <c r="O20" s="7">
        <f>IFERROR(F20/E20,"")</f>
        <v/>
      </c>
      <c r="P20" s="7">
        <f>IFERROR(G20/E20,"")</f>
        <v/>
      </c>
      <c r="Q20" s="7">
        <f>IFERROR(H20/I20,"")</f>
        <v/>
      </c>
      <c r="R20" s="7">
        <f>IFERROR(J20/E20,"")</f>
        <v/>
      </c>
      <c r="S20" s="7">
        <f>IFERROR(K20/E20,"")</f>
        <v/>
      </c>
      <c r="T20" s="7">
        <f>IFERROR(M20/E20,"")</f>
        <v/>
      </c>
      <c r="U20" s="7">
        <f>IFERROR(N20/E20,"")</f>
        <v/>
      </c>
      <c r="V20" s="6">
        <f>IFERROR(INDEX('設定・凡例'!$H$20:$H$24,MATCH(D20,'設定・凡例'!$G$20:$G$24,0)),"")</f>
        <v/>
      </c>
      <c r="W20" s="26">
        <f>IF(E20="","",IF(ISNUMBER(V20),IF(E20&gt;=V20,"○","×"),"-"))</f>
        <v/>
      </c>
    </row>
    <row r="21">
      <c r="A21" s="25" t="n"/>
      <c r="B21" s="26">
        <f>IF(A21="","",TEXT(A21,"YYYY-MM"))</f>
        <v/>
      </c>
      <c r="C21" s="27" t="n"/>
      <c r="D21" s="27" t="n"/>
      <c r="E21" s="9" t="n"/>
      <c r="F21" s="9" t="n"/>
      <c r="G21" s="9" t="n"/>
      <c r="H21" s="28" t="n"/>
      <c r="I21" s="28" t="n"/>
      <c r="J21" s="9" t="n"/>
      <c r="K21" s="9" t="n"/>
      <c r="L21" s="9" t="n"/>
      <c r="M21" s="9" t="n"/>
      <c r="N21" s="9" t="n"/>
      <c r="O21" s="7">
        <f>IFERROR(F21/E21,"")</f>
        <v/>
      </c>
      <c r="P21" s="7">
        <f>IFERROR(G21/E21,"")</f>
        <v/>
      </c>
      <c r="Q21" s="7">
        <f>IFERROR(H21/I21,"")</f>
        <v/>
      </c>
      <c r="R21" s="7">
        <f>IFERROR(J21/E21,"")</f>
        <v/>
      </c>
      <c r="S21" s="7">
        <f>IFERROR(K21/E21,"")</f>
        <v/>
      </c>
      <c r="T21" s="7">
        <f>IFERROR(M21/E21,"")</f>
        <v/>
      </c>
      <c r="U21" s="7">
        <f>IFERROR(N21/E21,"")</f>
        <v/>
      </c>
      <c r="V21" s="6">
        <f>IFERROR(INDEX('設定・凡例'!$H$20:$H$24,MATCH(D21,'設定・凡例'!$G$20:$G$24,0)),"")</f>
        <v/>
      </c>
      <c r="W21" s="26">
        <f>IF(E21="","",IF(ISNUMBER(V21),IF(E21&gt;=V21,"○","×"),"-"))</f>
        <v/>
      </c>
    </row>
    <row r="22">
      <c r="A22" s="25" t="n"/>
      <c r="B22" s="26">
        <f>IF(A22="","",TEXT(A22,"YYYY-MM"))</f>
        <v/>
      </c>
      <c r="C22" s="27" t="n"/>
      <c r="D22" s="27" t="n"/>
      <c r="E22" s="9" t="n"/>
      <c r="F22" s="9" t="n"/>
      <c r="G22" s="9" t="n"/>
      <c r="H22" s="28" t="n"/>
      <c r="I22" s="28" t="n"/>
      <c r="J22" s="9" t="n"/>
      <c r="K22" s="9" t="n"/>
      <c r="L22" s="9" t="n"/>
      <c r="M22" s="9" t="n"/>
      <c r="N22" s="9" t="n"/>
      <c r="O22" s="7">
        <f>IFERROR(F22/E22,"")</f>
        <v/>
      </c>
      <c r="P22" s="7">
        <f>IFERROR(G22/E22,"")</f>
        <v/>
      </c>
      <c r="Q22" s="7">
        <f>IFERROR(H22/I22,"")</f>
        <v/>
      </c>
      <c r="R22" s="7">
        <f>IFERROR(J22/E22,"")</f>
        <v/>
      </c>
      <c r="S22" s="7">
        <f>IFERROR(K22/E22,"")</f>
        <v/>
      </c>
      <c r="T22" s="7">
        <f>IFERROR(M22/E22,"")</f>
        <v/>
      </c>
      <c r="U22" s="7">
        <f>IFERROR(N22/E22,"")</f>
        <v/>
      </c>
      <c r="V22" s="6">
        <f>IFERROR(INDEX('設定・凡例'!$H$20:$H$24,MATCH(D22,'設定・凡例'!$G$20:$G$24,0)),"")</f>
        <v/>
      </c>
      <c r="W22" s="26">
        <f>IF(E22="","",IF(ISNUMBER(V22),IF(E22&gt;=V22,"○","×"),"-"))</f>
        <v/>
      </c>
    </row>
    <row r="23">
      <c r="A23" s="25" t="n"/>
      <c r="B23" s="26">
        <f>IF(A23="","",TEXT(A23,"YYYY-MM"))</f>
        <v/>
      </c>
      <c r="C23" s="27" t="n"/>
      <c r="D23" s="27" t="n"/>
      <c r="E23" s="9" t="n"/>
      <c r="F23" s="9" t="n"/>
      <c r="G23" s="9" t="n"/>
      <c r="H23" s="28" t="n"/>
      <c r="I23" s="28" t="n"/>
      <c r="J23" s="9" t="n"/>
      <c r="K23" s="9" t="n"/>
      <c r="L23" s="9" t="n"/>
      <c r="M23" s="9" t="n"/>
      <c r="N23" s="9" t="n"/>
      <c r="O23" s="7">
        <f>IFERROR(F23/E23,"")</f>
        <v/>
      </c>
      <c r="P23" s="7">
        <f>IFERROR(G23/E23,"")</f>
        <v/>
      </c>
      <c r="Q23" s="7">
        <f>IFERROR(H23/I23,"")</f>
        <v/>
      </c>
      <c r="R23" s="7">
        <f>IFERROR(J23/E23,"")</f>
        <v/>
      </c>
      <c r="S23" s="7">
        <f>IFERROR(K23/E23,"")</f>
        <v/>
      </c>
      <c r="T23" s="7">
        <f>IFERROR(M23/E23,"")</f>
        <v/>
      </c>
      <c r="U23" s="7">
        <f>IFERROR(N23/E23,"")</f>
        <v/>
      </c>
      <c r="V23" s="6">
        <f>IFERROR(INDEX('設定・凡例'!$H$20:$H$24,MATCH(D23,'設定・凡例'!$G$20:$G$24,0)),"")</f>
        <v/>
      </c>
      <c r="W23" s="26">
        <f>IF(E23="","",IF(ISNUMBER(V23),IF(E23&gt;=V23,"○","×"),"-"))</f>
        <v/>
      </c>
    </row>
    <row r="24">
      <c r="A24" s="25" t="n"/>
      <c r="B24" s="26">
        <f>IF(A24="","",TEXT(A24,"YYYY-MM"))</f>
        <v/>
      </c>
      <c r="C24" s="27" t="n"/>
      <c r="D24" s="27" t="n"/>
      <c r="E24" s="9" t="n"/>
      <c r="F24" s="9" t="n"/>
      <c r="G24" s="9" t="n"/>
      <c r="H24" s="28" t="n"/>
      <c r="I24" s="28" t="n"/>
      <c r="J24" s="9" t="n"/>
      <c r="K24" s="9" t="n"/>
      <c r="L24" s="9" t="n"/>
      <c r="M24" s="9" t="n"/>
      <c r="N24" s="9" t="n"/>
      <c r="O24" s="7">
        <f>IFERROR(F24/E24,"")</f>
        <v/>
      </c>
      <c r="P24" s="7">
        <f>IFERROR(G24/E24,"")</f>
        <v/>
      </c>
      <c r="Q24" s="7">
        <f>IFERROR(H24/I24,"")</f>
        <v/>
      </c>
      <c r="R24" s="7">
        <f>IFERROR(J24/E24,"")</f>
        <v/>
      </c>
      <c r="S24" s="7">
        <f>IFERROR(K24/E24,"")</f>
        <v/>
      </c>
      <c r="T24" s="7">
        <f>IFERROR(M24/E24,"")</f>
        <v/>
      </c>
      <c r="U24" s="7">
        <f>IFERROR(N24/E24,"")</f>
        <v/>
      </c>
      <c r="V24" s="6">
        <f>IFERROR(INDEX('設定・凡例'!$H$20:$H$24,MATCH(D24,'設定・凡例'!$G$20:$G$24,0)),"")</f>
        <v/>
      </c>
      <c r="W24" s="26">
        <f>IF(E24="","",IF(ISNUMBER(V24),IF(E24&gt;=V24,"○","×"),"-"))</f>
        <v/>
      </c>
    </row>
    <row r="25">
      <c r="A25" s="25" t="n"/>
      <c r="B25" s="26">
        <f>IF(A25="","",TEXT(A25,"YYYY-MM"))</f>
        <v/>
      </c>
      <c r="C25" s="27" t="n"/>
      <c r="D25" s="27" t="n"/>
      <c r="E25" s="9" t="n"/>
      <c r="F25" s="9" t="n"/>
      <c r="G25" s="9" t="n"/>
      <c r="H25" s="28" t="n"/>
      <c r="I25" s="28" t="n"/>
      <c r="J25" s="9" t="n"/>
      <c r="K25" s="9" t="n"/>
      <c r="L25" s="9" t="n"/>
      <c r="M25" s="9" t="n"/>
      <c r="N25" s="9" t="n"/>
      <c r="O25" s="7">
        <f>IFERROR(F25/E25,"")</f>
        <v/>
      </c>
      <c r="P25" s="7">
        <f>IFERROR(G25/E25,"")</f>
        <v/>
      </c>
      <c r="Q25" s="7">
        <f>IFERROR(H25/I25,"")</f>
        <v/>
      </c>
      <c r="R25" s="7">
        <f>IFERROR(J25/E25,"")</f>
        <v/>
      </c>
      <c r="S25" s="7">
        <f>IFERROR(K25/E25,"")</f>
        <v/>
      </c>
      <c r="T25" s="7">
        <f>IFERROR(M25/E25,"")</f>
        <v/>
      </c>
      <c r="U25" s="7">
        <f>IFERROR(N25/E25,"")</f>
        <v/>
      </c>
      <c r="V25" s="6">
        <f>IFERROR(INDEX('設定・凡例'!$H$20:$H$24,MATCH(D25,'設定・凡例'!$G$20:$G$24,0)),"")</f>
        <v/>
      </c>
      <c r="W25" s="26">
        <f>IF(E25="","",IF(ISNUMBER(V25),IF(E25&gt;=V25,"○","×"),"-"))</f>
        <v/>
      </c>
    </row>
    <row r="26">
      <c r="A26" s="25" t="n"/>
      <c r="B26" s="26">
        <f>IF(A26="","",TEXT(A26,"YYYY-MM"))</f>
        <v/>
      </c>
      <c r="C26" s="27" t="n"/>
      <c r="D26" s="27" t="n"/>
      <c r="E26" s="9" t="n"/>
      <c r="F26" s="9" t="n"/>
      <c r="G26" s="9" t="n"/>
      <c r="H26" s="28" t="n"/>
      <c r="I26" s="28" t="n"/>
      <c r="J26" s="9" t="n"/>
      <c r="K26" s="9" t="n"/>
      <c r="L26" s="9" t="n"/>
      <c r="M26" s="9" t="n"/>
      <c r="N26" s="9" t="n"/>
      <c r="O26" s="7">
        <f>IFERROR(F26/E26,"")</f>
        <v/>
      </c>
      <c r="P26" s="7">
        <f>IFERROR(G26/E26,"")</f>
        <v/>
      </c>
      <c r="Q26" s="7">
        <f>IFERROR(H26/I26,"")</f>
        <v/>
      </c>
      <c r="R26" s="7">
        <f>IFERROR(J26/E26,"")</f>
        <v/>
      </c>
      <c r="S26" s="7">
        <f>IFERROR(K26/E26,"")</f>
        <v/>
      </c>
      <c r="T26" s="7">
        <f>IFERROR(M26/E26,"")</f>
        <v/>
      </c>
      <c r="U26" s="7">
        <f>IFERROR(N26/E26,"")</f>
        <v/>
      </c>
      <c r="V26" s="6">
        <f>IFERROR(INDEX('設定・凡例'!$H$20:$H$24,MATCH(D26,'設定・凡例'!$G$20:$G$24,0)),"")</f>
        <v/>
      </c>
      <c r="W26" s="26">
        <f>IF(E26="","",IF(ISNUMBER(V26),IF(E26&gt;=V26,"○","×"),"-"))</f>
        <v/>
      </c>
    </row>
    <row r="27">
      <c r="A27" s="25" t="n"/>
      <c r="B27" s="26">
        <f>IF(A27="","",TEXT(A27,"YYYY-MM"))</f>
        <v/>
      </c>
      <c r="C27" s="27" t="n"/>
      <c r="D27" s="27" t="n"/>
      <c r="E27" s="9" t="n"/>
      <c r="F27" s="9" t="n"/>
      <c r="G27" s="9" t="n"/>
      <c r="H27" s="28" t="n"/>
      <c r="I27" s="28" t="n"/>
      <c r="J27" s="9" t="n"/>
      <c r="K27" s="9" t="n"/>
      <c r="L27" s="9" t="n"/>
      <c r="M27" s="9" t="n"/>
      <c r="N27" s="9" t="n"/>
      <c r="O27" s="7">
        <f>IFERROR(F27/E27,"")</f>
        <v/>
      </c>
      <c r="P27" s="7">
        <f>IFERROR(G27/E27,"")</f>
        <v/>
      </c>
      <c r="Q27" s="7">
        <f>IFERROR(H27/I27,"")</f>
        <v/>
      </c>
      <c r="R27" s="7">
        <f>IFERROR(J27/E27,"")</f>
        <v/>
      </c>
      <c r="S27" s="7">
        <f>IFERROR(K27/E27,"")</f>
        <v/>
      </c>
      <c r="T27" s="7">
        <f>IFERROR(M27/E27,"")</f>
        <v/>
      </c>
      <c r="U27" s="7">
        <f>IFERROR(N27/E27,"")</f>
        <v/>
      </c>
      <c r="V27" s="6">
        <f>IFERROR(INDEX('設定・凡例'!$H$20:$H$24,MATCH(D27,'設定・凡例'!$G$20:$G$24,0)),"")</f>
        <v/>
      </c>
      <c r="W27" s="26">
        <f>IF(E27="","",IF(ISNUMBER(V27),IF(E27&gt;=V27,"○","×"),"-"))</f>
        <v/>
      </c>
    </row>
    <row r="28">
      <c r="A28" s="25" t="n"/>
      <c r="B28" s="26">
        <f>IF(A28="","",TEXT(A28,"YYYY-MM"))</f>
        <v/>
      </c>
      <c r="C28" s="27" t="n"/>
      <c r="D28" s="27" t="n"/>
      <c r="E28" s="9" t="n"/>
      <c r="F28" s="9" t="n"/>
      <c r="G28" s="9" t="n"/>
      <c r="H28" s="28" t="n"/>
      <c r="I28" s="28" t="n"/>
      <c r="J28" s="9" t="n"/>
      <c r="K28" s="9" t="n"/>
      <c r="L28" s="9" t="n"/>
      <c r="M28" s="9" t="n"/>
      <c r="N28" s="9" t="n"/>
      <c r="O28" s="7">
        <f>IFERROR(F28/E28,"")</f>
        <v/>
      </c>
      <c r="P28" s="7">
        <f>IFERROR(G28/E28,"")</f>
        <v/>
      </c>
      <c r="Q28" s="7">
        <f>IFERROR(H28/I28,"")</f>
        <v/>
      </c>
      <c r="R28" s="7">
        <f>IFERROR(J28/E28,"")</f>
        <v/>
      </c>
      <c r="S28" s="7">
        <f>IFERROR(K28/E28,"")</f>
        <v/>
      </c>
      <c r="T28" s="7">
        <f>IFERROR(M28/E28,"")</f>
        <v/>
      </c>
      <c r="U28" s="7">
        <f>IFERROR(N28/E28,"")</f>
        <v/>
      </c>
      <c r="V28" s="6">
        <f>IFERROR(INDEX('設定・凡例'!$H$20:$H$24,MATCH(D28,'設定・凡例'!$G$20:$G$24,0)),"")</f>
        <v/>
      </c>
      <c r="W28" s="26">
        <f>IF(E28="","",IF(ISNUMBER(V28),IF(E28&gt;=V28,"○","×"),"-"))</f>
        <v/>
      </c>
    </row>
    <row r="29">
      <c r="A29" s="25" t="n"/>
      <c r="B29" s="26">
        <f>IF(A29="","",TEXT(A29,"YYYY-MM"))</f>
        <v/>
      </c>
      <c r="C29" s="27" t="n"/>
      <c r="D29" s="27" t="n"/>
      <c r="E29" s="9" t="n"/>
      <c r="F29" s="9" t="n"/>
      <c r="G29" s="9" t="n"/>
      <c r="H29" s="28" t="n"/>
      <c r="I29" s="28" t="n"/>
      <c r="J29" s="9" t="n"/>
      <c r="K29" s="9" t="n"/>
      <c r="L29" s="9" t="n"/>
      <c r="M29" s="9" t="n"/>
      <c r="N29" s="9" t="n"/>
      <c r="O29" s="7">
        <f>IFERROR(F29/E29,"")</f>
        <v/>
      </c>
      <c r="P29" s="7">
        <f>IFERROR(G29/E29,"")</f>
        <v/>
      </c>
      <c r="Q29" s="7">
        <f>IFERROR(H29/I29,"")</f>
        <v/>
      </c>
      <c r="R29" s="7">
        <f>IFERROR(J29/E29,"")</f>
        <v/>
      </c>
      <c r="S29" s="7">
        <f>IFERROR(K29/E29,"")</f>
        <v/>
      </c>
      <c r="T29" s="7">
        <f>IFERROR(M29/E29,"")</f>
        <v/>
      </c>
      <c r="U29" s="7">
        <f>IFERROR(N29/E29,"")</f>
        <v/>
      </c>
      <c r="V29" s="6">
        <f>IFERROR(INDEX('設定・凡例'!$H$20:$H$24,MATCH(D29,'設定・凡例'!$G$20:$G$24,0)),"")</f>
        <v/>
      </c>
      <c r="W29" s="26">
        <f>IF(E29="","",IF(ISNUMBER(V29),IF(E29&gt;=V29,"○","×"),"-"))</f>
        <v/>
      </c>
    </row>
    <row r="30">
      <c r="A30" s="25" t="n"/>
      <c r="B30" s="26">
        <f>IF(A30="","",TEXT(A30,"YYYY-MM"))</f>
        <v/>
      </c>
      <c r="C30" s="27" t="n"/>
      <c r="D30" s="27" t="n"/>
      <c r="E30" s="9" t="n"/>
      <c r="F30" s="9" t="n"/>
      <c r="G30" s="9" t="n"/>
      <c r="H30" s="28" t="n"/>
      <c r="I30" s="28" t="n"/>
      <c r="J30" s="9" t="n"/>
      <c r="K30" s="9" t="n"/>
      <c r="L30" s="9" t="n"/>
      <c r="M30" s="9" t="n"/>
      <c r="N30" s="9" t="n"/>
      <c r="O30" s="7">
        <f>IFERROR(F30/E30,"")</f>
        <v/>
      </c>
      <c r="P30" s="7">
        <f>IFERROR(G30/E30,"")</f>
        <v/>
      </c>
      <c r="Q30" s="7">
        <f>IFERROR(H30/I30,"")</f>
        <v/>
      </c>
      <c r="R30" s="7">
        <f>IFERROR(J30/E30,"")</f>
        <v/>
      </c>
      <c r="S30" s="7">
        <f>IFERROR(K30/E30,"")</f>
        <v/>
      </c>
      <c r="T30" s="7">
        <f>IFERROR(M30/E30,"")</f>
        <v/>
      </c>
      <c r="U30" s="7">
        <f>IFERROR(N30/E30,"")</f>
        <v/>
      </c>
      <c r="V30" s="6">
        <f>IFERROR(INDEX('設定・凡例'!$H$20:$H$24,MATCH(D30,'設定・凡例'!$G$20:$G$24,0)),"")</f>
        <v/>
      </c>
      <c r="W30" s="26">
        <f>IF(E30="","",IF(ISNUMBER(V30),IF(E30&gt;=V30,"○","×"),"-"))</f>
        <v/>
      </c>
    </row>
    <row r="31">
      <c r="A31" s="25" t="n"/>
      <c r="B31" s="26">
        <f>IF(A31="","",TEXT(A31,"YYYY-MM"))</f>
        <v/>
      </c>
      <c r="C31" s="27" t="n"/>
      <c r="D31" s="27" t="n"/>
      <c r="E31" s="9" t="n"/>
      <c r="F31" s="9" t="n"/>
      <c r="G31" s="9" t="n"/>
      <c r="H31" s="28" t="n"/>
      <c r="I31" s="28" t="n"/>
      <c r="J31" s="9" t="n"/>
      <c r="K31" s="9" t="n"/>
      <c r="L31" s="9" t="n"/>
      <c r="M31" s="9" t="n"/>
      <c r="N31" s="9" t="n"/>
      <c r="O31" s="7">
        <f>IFERROR(F31/E31,"")</f>
        <v/>
      </c>
      <c r="P31" s="7">
        <f>IFERROR(G31/E31,"")</f>
        <v/>
      </c>
      <c r="Q31" s="7">
        <f>IFERROR(H31/I31,"")</f>
        <v/>
      </c>
      <c r="R31" s="7">
        <f>IFERROR(J31/E31,"")</f>
        <v/>
      </c>
      <c r="S31" s="7">
        <f>IFERROR(K31/E31,"")</f>
        <v/>
      </c>
      <c r="T31" s="7">
        <f>IFERROR(M31/E31,"")</f>
        <v/>
      </c>
      <c r="U31" s="7">
        <f>IFERROR(N31/E31,"")</f>
        <v/>
      </c>
      <c r="V31" s="6">
        <f>IFERROR(INDEX('設定・凡例'!$H$20:$H$24,MATCH(D31,'設定・凡例'!$G$20:$G$24,0)),"")</f>
        <v/>
      </c>
      <c r="W31" s="26">
        <f>IF(E31="","",IF(ISNUMBER(V31),IF(E31&gt;=V31,"○","×"),"-"))</f>
        <v/>
      </c>
    </row>
    <row r="32">
      <c r="A32" s="25" t="n"/>
      <c r="B32" s="26">
        <f>IF(A32="","",TEXT(A32,"YYYY-MM"))</f>
        <v/>
      </c>
      <c r="C32" s="27" t="n"/>
      <c r="D32" s="27" t="n"/>
      <c r="E32" s="9" t="n"/>
      <c r="F32" s="9" t="n"/>
      <c r="G32" s="9" t="n"/>
      <c r="H32" s="28" t="n"/>
      <c r="I32" s="28" t="n"/>
      <c r="J32" s="9" t="n"/>
      <c r="K32" s="9" t="n"/>
      <c r="L32" s="9" t="n"/>
      <c r="M32" s="9" t="n"/>
      <c r="N32" s="9" t="n"/>
      <c r="O32" s="7">
        <f>IFERROR(F32/E32,"")</f>
        <v/>
      </c>
      <c r="P32" s="7">
        <f>IFERROR(G32/E32,"")</f>
        <v/>
      </c>
      <c r="Q32" s="7">
        <f>IFERROR(H32/I32,"")</f>
        <v/>
      </c>
      <c r="R32" s="7">
        <f>IFERROR(J32/E32,"")</f>
        <v/>
      </c>
      <c r="S32" s="7">
        <f>IFERROR(K32/E32,"")</f>
        <v/>
      </c>
      <c r="T32" s="7">
        <f>IFERROR(M32/E32,"")</f>
        <v/>
      </c>
      <c r="U32" s="7">
        <f>IFERROR(N32/E32,"")</f>
        <v/>
      </c>
      <c r="V32" s="6">
        <f>IFERROR(INDEX('設定・凡例'!$H$20:$H$24,MATCH(D32,'設定・凡例'!$G$20:$G$24,0)),"")</f>
        <v/>
      </c>
      <c r="W32" s="26">
        <f>IF(E32="","",IF(ISNUMBER(V32),IF(E32&gt;=V32,"○","×"),"-"))</f>
        <v/>
      </c>
    </row>
    <row r="33">
      <c r="A33" s="25" t="n"/>
      <c r="B33" s="26">
        <f>IF(A33="","",TEXT(A33,"YYYY-MM"))</f>
        <v/>
      </c>
      <c r="C33" s="27" t="n"/>
      <c r="D33" s="27" t="n"/>
      <c r="E33" s="9" t="n"/>
      <c r="F33" s="9" t="n"/>
      <c r="G33" s="9" t="n"/>
      <c r="H33" s="28" t="n"/>
      <c r="I33" s="28" t="n"/>
      <c r="J33" s="9" t="n"/>
      <c r="K33" s="9" t="n"/>
      <c r="L33" s="9" t="n"/>
      <c r="M33" s="9" t="n"/>
      <c r="N33" s="9" t="n"/>
      <c r="O33" s="7">
        <f>IFERROR(F33/E33,"")</f>
        <v/>
      </c>
      <c r="P33" s="7">
        <f>IFERROR(G33/E33,"")</f>
        <v/>
      </c>
      <c r="Q33" s="7">
        <f>IFERROR(H33/I33,"")</f>
        <v/>
      </c>
      <c r="R33" s="7">
        <f>IFERROR(J33/E33,"")</f>
        <v/>
      </c>
      <c r="S33" s="7">
        <f>IFERROR(K33/E33,"")</f>
        <v/>
      </c>
      <c r="T33" s="7">
        <f>IFERROR(M33/E33,"")</f>
        <v/>
      </c>
      <c r="U33" s="7">
        <f>IFERROR(N33/E33,"")</f>
        <v/>
      </c>
      <c r="V33" s="6">
        <f>IFERROR(INDEX('設定・凡例'!$H$20:$H$24,MATCH(D33,'設定・凡例'!$G$20:$G$24,0)),"")</f>
        <v/>
      </c>
      <c r="W33" s="26">
        <f>IF(E33="","",IF(ISNUMBER(V33),IF(E33&gt;=V33,"○","×"),"-"))</f>
        <v/>
      </c>
    </row>
    <row r="34">
      <c r="A34" s="25" t="n"/>
      <c r="B34" s="26">
        <f>IF(A34="","",TEXT(A34,"YYYY-MM"))</f>
        <v/>
      </c>
      <c r="C34" s="27" t="n"/>
      <c r="D34" s="27" t="n"/>
      <c r="E34" s="9" t="n"/>
      <c r="F34" s="9" t="n"/>
      <c r="G34" s="9" t="n"/>
      <c r="H34" s="28" t="n"/>
      <c r="I34" s="28" t="n"/>
      <c r="J34" s="9" t="n"/>
      <c r="K34" s="9" t="n"/>
      <c r="L34" s="9" t="n"/>
      <c r="M34" s="9" t="n"/>
      <c r="N34" s="9" t="n"/>
      <c r="O34" s="7">
        <f>IFERROR(F34/E34,"")</f>
        <v/>
      </c>
      <c r="P34" s="7">
        <f>IFERROR(G34/E34,"")</f>
        <v/>
      </c>
      <c r="Q34" s="7">
        <f>IFERROR(H34/I34,"")</f>
        <v/>
      </c>
      <c r="R34" s="7">
        <f>IFERROR(J34/E34,"")</f>
        <v/>
      </c>
      <c r="S34" s="7">
        <f>IFERROR(K34/E34,"")</f>
        <v/>
      </c>
      <c r="T34" s="7">
        <f>IFERROR(M34/E34,"")</f>
        <v/>
      </c>
      <c r="U34" s="7">
        <f>IFERROR(N34/E34,"")</f>
        <v/>
      </c>
      <c r="V34" s="6">
        <f>IFERROR(INDEX('設定・凡例'!$H$20:$H$24,MATCH(D34,'設定・凡例'!$G$20:$G$24,0)),"")</f>
        <v/>
      </c>
      <c r="W34" s="26">
        <f>IF(E34="","",IF(ISNUMBER(V34),IF(E34&gt;=V34,"○","×"),"-"))</f>
        <v/>
      </c>
    </row>
    <row r="35">
      <c r="A35" s="25" t="n"/>
      <c r="B35" s="26">
        <f>IF(A35="","",TEXT(A35,"YYYY-MM"))</f>
        <v/>
      </c>
      <c r="C35" s="27" t="n"/>
      <c r="D35" s="27" t="n"/>
      <c r="E35" s="9" t="n"/>
      <c r="F35" s="9" t="n"/>
      <c r="G35" s="9" t="n"/>
      <c r="H35" s="28" t="n"/>
      <c r="I35" s="28" t="n"/>
      <c r="J35" s="9" t="n"/>
      <c r="K35" s="9" t="n"/>
      <c r="L35" s="9" t="n"/>
      <c r="M35" s="9" t="n"/>
      <c r="N35" s="9" t="n"/>
      <c r="O35" s="7">
        <f>IFERROR(F35/E35,"")</f>
        <v/>
      </c>
      <c r="P35" s="7">
        <f>IFERROR(G35/E35,"")</f>
        <v/>
      </c>
      <c r="Q35" s="7">
        <f>IFERROR(H35/I35,"")</f>
        <v/>
      </c>
      <c r="R35" s="7">
        <f>IFERROR(J35/E35,"")</f>
        <v/>
      </c>
      <c r="S35" s="7">
        <f>IFERROR(K35/E35,"")</f>
        <v/>
      </c>
      <c r="T35" s="7">
        <f>IFERROR(M35/E35,"")</f>
        <v/>
      </c>
      <c r="U35" s="7">
        <f>IFERROR(N35/E35,"")</f>
        <v/>
      </c>
      <c r="V35" s="6">
        <f>IFERROR(INDEX('設定・凡例'!$H$20:$H$24,MATCH(D35,'設定・凡例'!$G$20:$G$24,0)),"")</f>
        <v/>
      </c>
      <c r="W35" s="26">
        <f>IF(E35="","",IF(ISNUMBER(V35),IF(E35&gt;=V35,"○","×"),"-"))</f>
        <v/>
      </c>
    </row>
    <row r="36">
      <c r="A36" s="25" t="n"/>
      <c r="B36" s="26">
        <f>IF(A36="","",TEXT(A36,"YYYY-MM"))</f>
        <v/>
      </c>
      <c r="C36" s="27" t="n"/>
      <c r="D36" s="27" t="n"/>
      <c r="E36" s="9" t="n"/>
      <c r="F36" s="9" t="n"/>
      <c r="G36" s="9" t="n"/>
      <c r="H36" s="28" t="n"/>
      <c r="I36" s="28" t="n"/>
      <c r="J36" s="9" t="n"/>
      <c r="K36" s="9" t="n"/>
      <c r="L36" s="9" t="n"/>
      <c r="M36" s="9" t="n"/>
      <c r="N36" s="9" t="n"/>
      <c r="O36" s="7">
        <f>IFERROR(F36/E36,"")</f>
        <v/>
      </c>
      <c r="P36" s="7">
        <f>IFERROR(G36/E36,"")</f>
        <v/>
      </c>
      <c r="Q36" s="7">
        <f>IFERROR(H36/I36,"")</f>
        <v/>
      </c>
      <c r="R36" s="7">
        <f>IFERROR(J36/E36,"")</f>
        <v/>
      </c>
      <c r="S36" s="7">
        <f>IFERROR(K36/E36,"")</f>
        <v/>
      </c>
      <c r="T36" s="7">
        <f>IFERROR(M36/E36,"")</f>
        <v/>
      </c>
      <c r="U36" s="7">
        <f>IFERROR(N36/E36,"")</f>
        <v/>
      </c>
      <c r="V36" s="6">
        <f>IFERROR(INDEX('設定・凡例'!$H$20:$H$24,MATCH(D36,'設定・凡例'!$G$20:$G$24,0)),"")</f>
        <v/>
      </c>
      <c r="W36" s="26">
        <f>IF(E36="","",IF(ISNUMBER(V36),IF(E36&gt;=V36,"○","×"),"-"))</f>
        <v/>
      </c>
    </row>
    <row r="37">
      <c r="A37" s="25" t="n"/>
      <c r="B37" s="26">
        <f>IF(A37="","",TEXT(A37,"YYYY-MM"))</f>
        <v/>
      </c>
      <c r="C37" s="27" t="n"/>
      <c r="D37" s="27" t="n"/>
      <c r="E37" s="9" t="n"/>
      <c r="F37" s="9" t="n"/>
      <c r="G37" s="9" t="n"/>
      <c r="H37" s="28" t="n"/>
      <c r="I37" s="28" t="n"/>
      <c r="J37" s="9" t="n"/>
      <c r="K37" s="9" t="n"/>
      <c r="L37" s="9" t="n"/>
      <c r="M37" s="9" t="n"/>
      <c r="N37" s="9" t="n"/>
      <c r="O37" s="7">
        <f>IFERROR(F37/E37,"")</f>
        <v/>
      </c>
      <c r="P37" s="7">
        <f>IFERROR(G37/E37,"")</f>
        <v/>
      </c>
      <c r="Q37" s="7">
        <f>IFERROR(H37/I37,"")</f>
        <v/>
      </c>
      <c r="R37" s="7">
        <f>IFERROR(J37/E37,"")</f>
        <v/>
      </c>
      <c r="S37" s="7">
        <f>IFERROR(K37/E37,"")</f>
        <v/>
      </c>
      <c r="T37" s="7">
        <f>IFERROR(M37/E37,"")</f>
        <v/>
      </c>
      <c r="U37" s="7">
        <f>IFERROR(N37/E37,"")</f>
        <v/>
      </c>
      <c r="V37" s="6">
        <f>IFERROR(INDEX('設定・凡例'!$H$20:$H$24,MATCH(D37,'設定・凡例'!$G$20:$G$24,0)),"")</f>
        <v/>
      </c>
      <c r="W37" s="26">
        <f>IF(E37="","",IF(ISNUMBER(V37),IF(E37&gt;=V37,"○","×"),"-"))</f>
        <v/>
      </c>
    </row>
    <row r="38">
      <c r="A38" s="25" t="n"/>
      <c r="B38" s="26">
        <f>IF(A38="","",TEXT(A38,"YYYY-MM"))</f>
        <v/>
      </c>
      <c r="C38" s="27" t="n"/>
      <c r="D38" s="27" t="n"/>
      <c r="E38" s="9" t="n"/>
      <c r="F38" s="9" t="n"/>
      <c r="G38" s="9" t="n"/>
      <c r="H38" s="28" t="n"/>
      <c r="I38" s="28" t="n"/>
      <c r="J38" s="9" t="n"/>
      <c r="K38" s="9" t="n"/>
      <c r="L38" s="9" t="n"/>
      <c r="M38" s="9" t="n"/>
      <c r="N38" s="9" t="n"/>
      <c r="O38" s="7">
        <f>IFERROR(F38/E38,"")</f>
        <v/>
      </c>
      <c r="P38" s="7">
        <f>IFERROR(G38/E38,"")</f>
        <v/>
      </c>
      <c r="Q38" s="7">
        <f>IFERROR(H38/I38,"")</f>
        <v/>
      </c>
      <c r="R38" s="7">
        <f>IFERROR(J38/E38,"")</f>
        <v/>
      </c>
      <c r="S38" s="7">
        <f>IFERROR(K38/E38,"")</f>
        <v/>
      </c>
      <c r="T38" s="7">
        <f>IFERROR(M38/E38,"")</f>
        <v/>
      </c>
      <c r="U38" s="7">
        <f>IFERROR(N38/E38,"")</f>
        <v/>
      </c>
      <c r="V38" s="6">
        <f>IFERROR(INDEX('設定・凡例'!$H$20:$H$24,MATCH(D38,'設定・凡例'!$G$20:$G$24,0)),"")</f>
        <v/>
      </c>
      <c r="W38" s="26">
        <f>IF(E38="","",IF(ISNUMBER(V38),IF(E38&gt;=V38,"○","×"),"-"))</f>
        <v/>
      </c>
    </row>
    <row r="39">
      <c r="A39" s="25" t="n"/>
      <c r="B39" s="26">
        <f>IF(A39="","",TEXT(A39,"YYYY-MM"))</f>
        <v/>
      </c>
      <c r="C39" s="27" t="n"/>
      <c r="D39" s="27" t="n"/>
      <c r="E39" s="9" t="n"/>
      <c r="F39" s="9" t="n"/>
      <c r="G39" s="9" t="n"/>
      <c r="H39" s="28" t="n"/>
      <c r="I39" s="28" t="n"/>
      <c r="J39" s="9" t="n"/>
      <c r="K39" s="9" t="n"/>
      <c r="L39" s="9" t="n"/>
      <c r="M39" s="9" t="n"/>
      <c r="N39" s="9" t="n"/>
      <c r="O39" s="7">
        <f>IFERROR(F39/E39,"")</f>
        <v/>
      </c>
      <c r="P39" s="7">
        <f>IFERROR(G39/E39,"")</f>
        <v/>
      </c>
      <c r="Q39" s="7">
        <f>IFERROR(H39/I39,"")</f>
        <v/>
      </c>
      <c r="R39" s="7">
        <f>IFERROR(J39/E39,"")</f>
        <v/>
      </c>
      <c r="S39" s="7">
        <f>IFERROR(K39/E39,"")</f>
        <v/>
      </c>
      <c r="T39" s="7">
        <f>IFERROR(M39/E39,"")</f>
        <v/>
      </c>
      <c r="U39" s="7">
        <f>IFERROR(N39/E39,"")</f>
        <v/>
      </c>
      <c r="V39" s="6">
        <f>IFERROR(INDEX('設定・凡例'!$H$20:$H$24,MATCH(D39,'設定・凡例'!$G$20:$G$24,0)),"")</f>
        <v/>
      </c>
      <c r="W39" s="26">
        <f>IF(E39="","",IF(ISNUMBER(V39),IF(E39&gt;=V39,"○","×"),"-"))</f>
        <v/>
      </c>
    </row>
    <row r="40">
      <c r="A40" s="25" t="n"/>
      <c r="B40" s="26">
        <f>IF(A40="","",TEXT(A40,"YYYY-MM"))</f>
        <v/>
      </c>
      <c r="C40" s="27" t="n"/>
      <c r="D40" s="27" t="n"/>
      <c r="E40" s="9" t="n"/>
      <c r="F40" s="9" t="n"/>
      <c r="G40" s="9" t="n"/>
      <c r="H40" s="28" t="n"/>
      <c r="I40" s="28" t="n"/>
      <c r="J40" s="9" t="n"/>
      <c r="K40" s="9" t="n"/>
      <c r="L40" s="9" t="n"/>
      <c r="M40" s="9" t="n"/>
      <c r="N40" s="9" t="n"/>
      <c r="O40" s="7">
        <f>IFERROR(F40/E40,"")</f>
        <v/>
      </c>
      <c r="P40" s="7">
        <f>IFERROR(G40/E40,"")</f>
        <v/>
      </c>
      <c r="Q40" s="7">
        <f>IFERROR(H40/I40,"")</f>
        <v/>
      </c>
      <c r="R40" s="7">
        <f>IFERROR(J40/E40,"")</f>
        <v/>
      </c>
      <c r="S40" s="7">
        <f>IFERROR(K40/E40,"")</f>
        <v/>
      </c>
      <c r="T40" s="7">
        <f>IFERROR(M40/E40,"")</f>
        <v/>
      </c>
      <c r="U40" s="7">
        <f>IFERROR(N40/E40,"")</f>
        <v/>
      </c>
      <c r="V40" s="6">
        <f>IFERROR(INDEX('設定・凡例'!$H$20:$H$24,MATCH(D40,'設定・凡例'!$G$20:$G$24,0)),"")</f>
        <v/>
      </c>
      <c r="W40" s="26">
        <f>IF(E40="","",IF(ISNUMBER(V40),IF(E40&gt;=V40,"○","×"),"-"))</f>
        <v/>
      </c>
    </row>
    <row r="41">
      <c r="A41" s="25" t="n"/>
      <c r="B41" s="26">
        <f>IF(A41="","",TEXT(A41,"YYYY-MM"))</f>
        <v/>
      </c>
      <c r="C41" s="27" t="n"/>
      <c r="D41" s="27" t="n"/>
      <c r="E41" s="9" t="n"/>
      <c r="F41" s="9" t="n"/>
      <c r="G41" s="9" t="n"/>
      <c r="H41" s="28" t="n"/>
      <c r="I41" s="28" t="n"/>
      <c r="J41" s="9" t="n"/>
      <c r="K41" s="9" t="n"/>
      <c r="L41" s="9" t="n"/>
      <c r="M41" s="9" t="n"/>
      <c r="N41" s="9" t="n"/>
      <c r="O41" s="7">
        <f>IFERROR(F41/E41,"")</f>
        <v/>
      </c>
      <c r="P41" s="7">
        <f>IFERROR(G41/E41,"")</f>
        <v/>
      </c>
      <c r="Q41" s="7">
        <f>IFERROR(H41/I41,"")</f>
        <v/>
      </c>
      <c r="R41" s="7">
        <f>IFERROR(J41/E41,"")</f>
        <v/>
      </c>
      <c r="S41" s="7">
        <f>IFERROR(K41/E41,"")</f>
        <v/>
      </c>
      <c r="T41" s="7">
        <f>IFERROR(M41/E41,"")</f>
        <v/>
      </c>
      <c r="U41" s="7">
        <f>IFERROR(N41/E41,"")</f>
        <v/>
      </c>
      <c r="V41" s="6">
        <f>IFERROR(INDEX('設定・凡例'!$H$20:$H$24,MATCH(D41,'設定・凡例'!$G$20:$G$24,0)),"")</f>
        <v/>
      </c>
      <c r="W41" s="26">
        <f>IF(E41="","",IF(ISNUMBER(V41),IF(E41&gt;=V41,"○","×"),"-"))</f>
        <v/>
      </c>
    </row>
    <row r="42">
      <c r="A42" s="25" t="n"/>
      <c r="B42" s="26">
        <f>IF(A42="","",TEXT(A42,"YYYY-MM"))</f>
        <v/>
      </c>
      <c r="C42" s="27" t="n"/>
      <c r="D42" s="27" t="n"/>
      <c r="E42" s="9" t="n"/>
      <c r="F42" s="9" t="n"/>
      <c r="G42" s="9" t="n"/>
      <c r="H42" s="28" t="n"/>
      <c r="I42" s="28" t="n"/>
      <c r="J42" s="9" t="n"/>
      <c r="K42" s="9" t="n"/>
      <c r="L42" s="9" t="n"/>
      <c r="M42" s="9" t="n"/>
      <c r="N42" s="9" t="n"/>
      <c r="O42" s="7">
        <f>IFERROR(F42/E42,"")</f>
        <v/>
      </c>
      <c r="P42" s="7">
        <f>IFERROR(G42/E42,"")</f>
        <v/>
      </c>
      <c r="Q42" s="7">
        <f>IFERROR(H42/I42,"")</f>
        <v/>
      </c>
      <c r="R42" s="7">
        <f>IFERROR(J42/E42,"")</f>
        <v/>
      </c>
      <c r="S42" s="7">
        <f>IFERROR(K42/E42,"")</f>
        <v/>
      </c>
      <c r="T42" s="7">
        <f>IFERROR(M42/E42,"")</f>
        <v/>
      </c>
      <c r="U42" s="7">
        <f>IFERROR(N42/E42,"")</f>
        <v/>
      </c>
      <c r="V42" s="6">
        <f>IFERROR(INDEX('設定・凡例'!$H$20:$H$24,MATCH(D42,'設定・凡例'!$G$20:$G$24,0)),"")</f>
        <v/>
      </c>
      <c r="W42" s="26">
        <f>IF(E42="","",IF(ISNUMBER(V42),IF(E42&gt;=V42,"○","×"),"-"))</f>
        <v/>
      </c>
    </row>
    <row r="43">
      <c r="A43" s="25" t="n"/>
      <c r="B43" s="26">
        <f>IF(A43="","",TEXT(A43,"YYYY-MM"))</f>
        <v/>
      </c>
      <c r="C43" s="27" t="n"/>
      <c r="D43" s="27" t="n"/>
      <c r="E43" s="9" t="n"/>
      <c r="F43" s="9" t="n"/>
      <c r="G43" s="9" t="n"/>
      <c r="H43" s="28" t="n"/>
      <c r="I43" s="28" t="n"/>
      <c r="J43" s="9" t="n"/>
      <c r="K43" s="9" t="n"/>
      <c r="L43" s="9" t="n"/>
      <c r="M43" s="9" t="n"/>
      <c r="N43" s="9" t="n"/>
      <c r="O43" s="7">
        <f>IFERROR(F43/E43,"")</f>
        <v/>
      </c>
      <c r="P43" s="7">
        <f>IFERROR(G43/E43,"")</f>
        <v/>
      </c>
      <c r="Q43" s="7">
        <f>IFERROR(H43/I43,"")</f>
        <v/>
      </c>
      <c r="R43" s="7">
        <f>IFERROR(J43/E43,"")</f>
        <v/>
      </c>
      <c r="S43" s="7">
        <f>IFERROR(K43/E43,"")</f>
        <v/>
      </c>
      <c r="T43" s="7">
        <f>IFERROR(M43/E43,"")</f>
        <v/>
      </c>
      <c r="U43" s="7">
        <f>IFERROR(N43/E43,"")</f>
        <v/>
      </c>
      <c r="V43" s="6">
        <f>IFERROR(INDEX('設定・凡例'!$H$20:$H$24,MATCH(D43,'設定・凡例'!$G$20:$G$24,0)),"")</f>
        <v/>
      </c>
      <c r="W43" s="26">
        <f>IF(E43="","",IF(ISNUMBER(V43),IF(E43&gt;=V43,"○","×"),"-"))</f>
        <v/>
      </c>
    </row>
    <row r="44">
      <c r="A44" s="25" t="n"/>
      <c r="B44" s="26">
        <f>IF(A44="","",TEXT(A44,"YYYY-MM"))</f>
        <v/>
      </c>
      <c r="C44" s="27" t="n"/>
      <c r="D44" s="27" t="n"/>
      <c r="E44" s="9" t="n"/>
      <c r="F44" s="9" t="n"/>
      <c r="G44" s="9" t="n"/>
      <c r="H44" s="28" t="n"/>
      <c r="I44" s="28" t="n"/>
      <c r="J44" s="9" t="n"/>
      <c r="K44" s="9" t="n"/>
      <c r="L44" s="9" t="n"/>
      <c r="M44" s="9" t="n"/>
      <c r="N44" s="9" t="n"/>
      <c r="O44" s="7">
        <f>IFERROR(F44/E44,"")</f>
        <v/>
      </c>
      <c r="P44" s="7">
        <f>IFERROR(G44/E44,"")</f>
        <v/>
      </c>
      <c r="Q44" s="7">
        <f>IFERROR(H44/I44,"")</f>
        <v/>
      </c>
      <c r="R44" s="7">
        <f>IFERROR(J44/E44,"")</f>
        <v/>
      </c>
      <c r="S44" s="7">
        <f>IFERROR(K44/E44,"")</f>
        <v/>
      </c>
      <c r="T44" s="7">
        <f>IFERROR(M44/E44,"")</f>
        <v/>
      </c>
      <c r="U44" s="7">
        <f>IFERROR(N44/E44,"")</f>
        <v/>
      </c>
      <c r="V44" s="6">
        <f>IFERROR(INDEX('設定・凡例'!$H$20:$H$24,MATCH(D44,'設定・凡例'!$G$20:$G$24,0)),"")</f>
        <v/>
      </c>
      <c r="W44" s="26">
        <f>IF(E44="","",IF(ISNUMBER(V44),IF(E44&gt;=V44,"○","×"),"-"))</f>
        <v/>
      </c>
    </row>
    <row r="45">
      <c r="A45" s="25" t="n"/>
      <c r="B45" s="26">
        <f>IF(A45="","",TEXT(A45,"YYYY-MM"))</f>
        <v/>
      </c>
      <c r="C45" s="27" t="n"/>
      <c r="D45" s="27" t="n"/>
      <c r="E45" s="9" t="n"/>
      <c r="F45" s="9" t="n"/>
      <c r="G45" s="9" t="n"/>
      <c r="H45" s="28" t="n"/>
      <c r="I45" s="28" t="n"/>
      <c r="J45" s="9" t="n"/>
      <c r="K45" s="9" t="n"/>
      <c r="L45" s="9" t="n"/>
      <c r="M45" s="9" t="n"/>
      <c r="N45" s="9" t="n"/>
      <c r="O45" s="7">
        <f>IFERROR(F45/E45,"")</f>
        <v/>
      </c>
      <c r="P45" s="7">
        <f>IFERROR(G45/E45,"")</f>
        <v/>
      </c>
      <c r="Q45" s="7">
        <f>IFERROR(H45/I45,"")</f>
        <v/>
      </c>
      <c r="R45" s="7">
        <f>IFERROR(J45/E45,"")</f>
        <v/>
      </c>
      <c r="S45" s="7">
        <f>IFERROR(K45/E45,"")</f>
        <v/>
      </c>
      <c r="T45" s="7">
        <f>IFERROR(M45/E45,"")</f>
        <v/>
      </c>
      <c r="U45" s="7">
        <f>IFERROR(N45/E45,"")</f>
        <v/>
      </c>
      <c r="V45" s="6">
        <f>IFERROR(INDEX('設定・凡例'!$H$20:$H$24,MATCH(D45,'設定・凡例'!$G$20:$G$24,0)),"")</f>
        <v/>
      </c>
      <c r="W45" s="26">
        <f>IF(E45="","",IF(ISNUMBER(V45),IF(E45&gt;=V45,"○","×"),"-"))</f>
        <v/>
      </c>
    </row>
    <row r="46">
      <c r="A46" s="25" t="n"/>
      <c r="B46" s="26">
        <f>IF(A46="","",TEXT(A46,"YYYY-MM"))</f>
        <v/>
      </c>
      <c r="C46" s="27" t="n"/>
      <c r="D46" s="27" t="n"/>
      <c r="E46" s="9" t="n"/>
      <c r="F46" s="9" t="n"/>
      <c r="G46" s="9" t="n"/>
      <c r="H46" s="28" t="n"/>
      <c r="I46" s="28" t="n"/>
      <c r="J46" s="9" t="n"/>
      <c r="K46" s="9" t="n"/>
      <c r="L46" s="9" t="n"/>
      <c r="M46" s="9" t="n"/>
      <c r="N46" s="9" t="n"/>
      <c r="O46" s="7">
        <f>IFERROR(F46/E46,"")</f>
        <v/>
      </c>
      <c r="P46" s="7">
        <f>IFERROR(G46/E46,"")</f>
        <v/>
      </c>
      <c r="Q46" s="7">
        <f>IFERROR(H46/I46,"")</f>
        <v/>
      </c>
      <c r="R46" s="7">
        <f>IFERROR(J46/E46,"")</f>
        <v/>
      </c>
      <c r="S46" s="7">
        <f>IFERROR(K46/E46,"")</f>
        <v/>
      </c>
      <c r="T46" s="7">
        <f>IFERROR(M46/E46,"")</f>
        <v/>
      </c>
      <c r="U46" s="7">
        <f>IFERROR(N46/E46,"")</f>
        <v/>
      </c>
      <c r="V46" s="6">
        <f>IFERROR(INDEX('設定・凡例'!$H$20:$H$24,MATCH(D46,'設定・凡例'!$G$20:$G$24,0)),"")</f>
        <v/>
      </c>
      <c r="W46" s="26">
        <f>IF(E46="","",IF(ISNUMBER(V46),IF(E46&gt;=V46,"○","×"),"-"))</f>
        <v/>
      </c>
    </row>
    <row r="47">
      <c r="A47" s="25" t="n"/>
      <c r="B47" s="26">
        <f>IF(A47="","",TEXT(A47,"YYYY-MM"))</f>
        <v/>
      </c>
      <c r="C47" s="27" t="n"/>
      <c r="D47" s="27" t="n"/>
      <c r="E47" s="9" t="n"/>
      <c r="F47" s="9" t="n"/>
      <c r="G47" s="9" t="n"/>
      <c r="H47" s="28" t="n"/>
      <c r="I47" s="28" t="n"/>
      <c r="J47" s="9" t="n"/>
      <c r="K47" s="9" t="n"/>
      <c r="L47" s="9" t="n"/>
      <c r="M47" s="9" t="n"/>
      <c r="N47" s="9" t="n"/>
      <c r="O47" s="7">
        <f>IFERROR(F47/E47,"")</f>
        <v/>
      </c>
      <c r="P47" s="7">
        <f>IFERROR(G47/E47,"")</f>
        <v/>
      </c>
      <c r="Q47" s="7">
        <f>IFERROR(H47/I47,"")</f>
        <v/>
      </c>
      <c r="R47" s="7">
        <f>IFERROR(J47/E47,"")</f>
        <v/>
      </c>
      <c r="S47" s="7">
        <f>IFERROR(K47/E47,"")</f>
        <v/>
      </c>
      <c r="T47" s="7">
        <f>IFERROR(M47/E47,"")</f>
        <v/>
      </c>
      <c r="U47" s="7">
        <f>IFERROR(N47/E47,"")</f>
        <v/>
      </c>
      <c r="V47" s="6">
        <f>IFERROR(INDEX('設定・凡例'!$H$20:$H$24,MATCH(D47,'設定・凡例'!$G$20:$G$24,0)),"")</f>
        <v/>
      </c>
      <c r="W47" s="26">
        <f>IF(E47="","",IF(ISNUMBER(V47),IF(E47&gt;=V47,"○","×"),"-"))</f>
        <v/>
      </c>
    </row>
    <row r="48">
      <c r="A48" s="25" t="n"/>
      <c r="B48" s="26">
        <f>IF(A48="","",TEXT(A48,"YYYY-MM"))</f>
        <v/>
      </c>
      <c r="C48" s="27" t="n"/>
      <c r="D48" s="27" t="n"/>
      <c r="E48" s="9" t="n"/>
      <c r="F48" s="9" t="n"/>
      <c r="G48" s="9" t="n"/>
      <c r="H48" s="28" t="n"/>
      <c r="I48" s="28" t="n"/>
      <c r="J48" s="9" t="n"/>
      <c r="K48" s="9" t="n"/>
      <c r="L48" s="9" t="n"/>
      <c r="M48" s="9" t="n"/>
      <c r="N48" s="9" t="n"/>
      <c r="O48" s="7">
        <f>IFERROR(F48/E48,"")</f>
        <v/>
      </c>
      <c r="P48" s="7">
        <f>IFERROR(G48/E48,"")</f>
        <v/>
      </c>
      <c r="Q48" s="7">
        <f>IFERROR(H48/I48,"")</f>
        <v/>
      </c>
      <c r="R48" s="7">
        <f>IFERROR(J48/E48,"")</f>
        <v/>
      </c>
      <c r="S48" s="7">
        <f>IFERROR(K48/E48,"")</f>
        <v/>
      </c>
      <c r="T48" s="7">
        <f>IFERROR(M48/E48,"")</f>
        <v/>
      </c>
      <c r="U48" s="7">
        <f>IFERROR(N48/E48,"")</f>
        <v/>
      </c>
      <c r="V48" s="6">
        <f>IFERROR(INDEX('設定・凡例'!$H$20:$H$24,MATCH(D48,'設定・凡例'!$G$20:$G$24,0)),"")</f>
        <v/>
      </c>
      <c r="W48" s="26">
        <f>IF(E48="","",IF(ISNUMBER(V48),IF(E48&gt;=V48,"○","×"),"-"))</f>
        <v/>
      </c>
    </row>
    <row r="49">
      <c r="A49" s="25" t="n"/>
      <c r="B49" s="26">
        <f>IF(A49="","",TEXT(A49,"YYYY-MM"))</f>
        <v/>
      </c>
      <c r="C49" s="27" t="n"/>
      <c r="D49" s="27" t="n"/>
      <c r="E49" s="9" t="n"/>
      <c r="F49" s="9" t="n"/>
      <c r="G49" s="9" t="n"/>
      <c r="H49" s="28" t="n"/>
      <c r="I49" s="28" t="n"/>
      <c r="J49" s="9" t="n"/>
      <c r="K49" s="9" t="n"/>
      <c r="L49" s="9" t="n"/>
      <c r="M49" s="9" t="n"/>
      <c r="N49" s="9" t="n"/>
      <c r="O49" s="7">
        <f>IFERROR(F49/E49,"")</f>
        <v/>
      </c>
      <c r="P49" s="7">
        <f>IFERROR(G49/E49,"")</f>
        <v/>
      </c>
      <c r="Q49" s="7">
        <f>IFERROR(H49/I49,"")</f>
        <v/>
      </c>
      <c r="R49" s="7">
        <f>IFERROR(J49/E49,"")</f>
        <v/>
      </c>
      <c r="S49" s="7">
        <f>IFERROR(K49/E49,"")</f>
        <v/>
      </c>
      <c r="T49" s="7">
        <f>IFERROR(M49/E49,"")</f>
        <v/>
      </c>
      <c r="U49" s="7">
        <f>IFERROR(N49/E49,"")</f>
        <v/>
      </c>
      <c r="V49" s="6">
        <f>IFERROR(INDEX('設定・凡例'!$H$20:$H$24,MATCH(D49,'設定・凡例'!$G$20:$G$24,0)),"")</f>
        <v/>
      </c>
      <c r="W49" s="26">
        <f>IF(E49="","",IF(ISNUMBER(V49),IF(E49&gt;=V49,"○","×"),"-"))</f>
        <v/>
      </c>
    </row>
    <row r="50">
      <c r="A50" s="25" t="n"/>
      <c r="B50" s="26">
        <f>IF(A50="","",TEXT(A50,"YYYY-MM"))</f>
        <v/>
      </c>
      <c r="C50" s="27" t="n"/>
      <c r="D50" s="27" t="n"/>
      <c r="E50" s="9" t="n"/>
      <c r="F50" s="9" t="n"/>
      <c r="G50" s="9" t="n"/>
      <c r="H50" s="28" t="n"/>
      <c r="I50" s="28" t="n"/>
      <c r="J50" s="9" t="n"/>
      <c r="K50" s="9" t="n"/>
      <c r="L50" s="9" t="n"/>
      <c r="M50" s="9" t="n"/>
      <c r="N50" s="9" t="n"/>
      <c r="O50" s="7">
        <f>IFERROR(F50/E50,"")</f>
        <v/>
      </c>
      <c r="P50" s="7">
        <f>IFERROR(G50/E50,"")</f>
        <v/>
      </c>
      <c r="Q50" s="7">
        <f>IFERROR(H50/I50,"")</f>
        <v/>
      </c>
      <c r="R50" s="7">
        <f>IFERROR(J50/E50,"")</f>
        <v/>
      </c>
      <c r="S50" s="7">
        <f>IFERROR(K50/E50,"")</f>
        <v/>
      </c>
      <c r="T50" s="7">
        <f>IFERROR(M50/E50,"")</f>
        <v/>
      </c>
      <c r="U50" s="7">
        <f>IFERROR(N50/E50,"")</f>
        <v/>
      </c>
      <c r="V50" s="6">
        <f>IFERROR(INDEX('設定・凡例'!$H$20:$H$24,MATCH(D50,'設定・凡例'!$G$20:$G$24,0)),"")</f>
        <v/>
      </c>
      <c r="W50" s="26">
        <f>IF(E50="","",IF(ISNUMBER(V50),IF(E50&gt;=V50,"○","×"),"-"))</f>
        <v/>
      </c>
    </row>
    <row r="51">
      <c r="A51" s="25" t="n"/>
      <c r="B51" s="26">
        <f>IF(A51="","",TEXT(A51,"YYYY-MM"))</f>
        <v/>
      </c>
      <c r="C51" s="27" t="n"/>
      <c r="D51" s="27" t="n"/>
      <c r="E51" s="9" t="n"/>
      <c r="F51" s="9" t="n"/>
      <c r="G51" s="9" t="n"/>
      <c r="H51" s="28" t="n"/>
      <c r="I51" s="28" t="n"/>
      <c r="J51" s="9" t="n"/>
      <c r="K51" s="9" t="n"/>
      <c r="L51" s="9" t="n"/>
      <c r="M51" s="9" t="n"/>
      <c r="N51" s="9" t="n"/>
      <c r="O51" s="7">
        <f>IFERROR(F51/E51,"")</f>
        <v/>
      </c>
      <c r="P51" s="7">
        <f>IFERROR(G51/E51,"")</f>
        <v/>
      </c>
      <c r="Q51" s="7">
        <f>IFERROR(H51/I51,"")</f>
        <v/>
      </c>
      <c r="R51" s="7">
        <f>IFERROR(J51/E51,"")</f>
        <v/>
      </c>
      <c r="S51" s="7">
        <f>IFERROR(K51/E51,"")</f>
        <v/>
      </c>
      <c r="T51" s="7">
        <f>IFERROR(M51/E51,"")</f>
        <v/>
      </c>
      <c r="U51" s="7">
        <f>IFERROR(N51/E51,"")</f>
        <v/>
      </c>
      <c r="V51" s="6">
        <f>IFERROR(INDEX('設定・凡例'!$H$20:$H$24,MATCH(D51,'設定・凡例'!$G$20:$G$24,0)),"")</f>
        <v/>
      </c>
      <c r="W51" s="26">
        <f>IF(E51="","",IF(ISNUMBER(V51),IF(E51&gt;=V51,"○","×"),"-"))</f>
        <v/>
      </c>
    </row>
    <row r="52">
      <c r="A52" s="25" t="n"/>
      <c r="B52" s="26">
        <f>IF(A52="","",TEXT(A52,"YYYY-MM"))</f>
        <v/>
      </c>
      <c r="C52" s="27" t="n"/>
      <c r="D52" s="27" t="n"/>
      <c r="E52" s="9" t="n"/>
      <c r="F52" s="9" t="n"/>
      <c r="G52" s="9" t="n"/>
      <c r="H52" s="28" t="n"/>
      <c r="I52" s="28" t="n"/>
      <c r="J52" s="9" t="n"/>
      <c r="K52" s="9" t="n"/>
      <c r="L52" s="9" t="n"/>
      <c r="M52" s="9" t="n"/>
      <c r="N52" s="9" t="n"/>
      <c r="O52" s="7">
        <f>IFERROR(F52/E52,"")</f>
        <v/>
      </c>
      <c r="P52" s="7">
        <f>IFERROR(G52/E52,"")</f>
        <v/>
      </c>
      <c r="Q52" s="7">
        <f>IFERROR(H52/I52,"")</f>
        <v/>
      </c>
      <c r="R52" s="7">
        <f>IFERROR(J52/E52,"")</f>
        <v/>
      </c>
      <c r="S52" s="7">
        <f>IFERROR(K52/E52,"")</f>
        <v/>
      </c>
      <c r="T52" s="7">
        <f>IFERROR(M52/E52,"")</f>
        <v/>
      </c>
      <c r="U52" s="7">
        <f>IFERROR(N52/E52,"")</f>
        <v/>
      </c>
      <c r="V52" s="6">
        <f>IFERROR(INDEX('設定・凡例'!$H$20:$H$24,MATCH(D52,'設定・凡例'!$G$20:$G$24,0)),"")</f>
        <v/>
      </c>
      <c r="W52" s="26">
        <f>IF(E52="","",IF(ISNUMBER(V52),IF(E52&gt;=V52,"○","×"),"-"))</f>
        <v/>
      </c>
    </row>
    <row r="53">
      <c r="A53" s="25" t="n"/>
      <c r="B53" s="26">
        <f>IF(A53="","",TEXT(A53,"YYYY-MM"))</f>
        <v/>
      </c>
      <c r="C53" s="27" t="n"/>
      <c r="D53" s="27" t="n"/>
      <c r="E53" s="9" t="n"/>
      <c r="F53" s="9" t="n"/>
      <c r="G53" s="9" t="n"/>
      <c r="H53" s="28" t="n"/>
      <c r="I53" s="28" t="n"/>
      <c r="J53" s="9" t="n"/>
      <c r="K53" s="9" t="n"/>
      <c r="L53" s="9" t="n"/>
      <c r="M53" s="9" t="n"/>
      <c r="N53" s="9" t="n"/>
      <c r="O53" s="7">
        <f>IFERROR(F53/E53,"")</f>
        <v/>
      </c>
      <c r="P53" s="7">
        <f>IFERROR(G53/E53,"")</f>
        <v/>
      </c>
      <c r="Q53" s="7">
        <f>IFERROR(H53/I53,"")</f>
        <v/>
      </c>
      <c r="R53" s="7">
        <f>IFERROR(J53/E53,"")</f>
        <v/>
      </c>
      <c r="S53" s="7">
        <f>IFERROR(K53/E53,"")</f>
        <v/>
      </c>
      <c r="T53" s="7">
        <f>IFERROR(M53/E53,"")</f>
        <v/>
      </c>
      <c r="U53" s="7">
        <f>IFERROR(N53/E53,"")</f>
        <v/>
      </c>
      <c r="V53" s="6">
        <f>IFERROR(INDEX('設定・凡例'!$H$20:$H$24,MATCH(D53,'設定・凡例'!$G$20:$G$24,0)),"")</f>
        <v/>
      </c>
      <c r="W53" s="26">
        <f>IF(E53="","",IF(ISNUMBER(V53),IF(E53&gt;=V53,"○","×"),"-"))</f>
        <v/>
      </c>
    </row>
    <row r="54">
      <c r="A54" s="25" t="n"/>
      <c r="B54" s="26">
        <f>IF(A54="","",TEXT(A54,"YYYY-MM"))</f>
        <v/>
      </c>
      <c r="C54" s="27" t="n"/>
      <c r="D54" s="27" t="n"/>
      <c r="E54" s="9" t="n"/>
      <c r="F54" s="9" t="n"/>
      <c r="G54" s="9" t="n"/>
      <c r="H54" s="28" t="n"/>
      <c r="I54" s="28" t="n"/>
      <c r="J54" s="9" t="n"/>
      <c r="K54" s="9" t="n"/>
      <c r="L54" s="9" t="n"/>
      <c r="M54" s="9" t="n"/>
      <c r="N54" s="9" t="n"/>
      <c r="O54" s="7">
        <f>IFERROR(F54/E54,"")</f>
        <v/>
      </c>
      <c r="P54" s="7">
        <f>IFERROR(G54/E54,"")</f>
        <v/>
      </c>
      <c r="Q54" s="7">
        <f>IFERROR(H54/I54,"")</f>
        <v/>
      </c>
      <c r="R54" s="7">
        <f>IFERROR(J54/E54,"")</f>
        <v/>
      </c>
      <c r="S54" s="7">
        <f>IFERROR(K54/E54,"")</f>
        <v/>
      </c>
      <c r="T54" s="7">
        <f>IFERROR(M54/E54,"")</f>
        <v/>
      </c>
      <c r="U54" s="7">
        <f>IFERROR(N54/E54,"")</f>
        <v/>
      </c>
      <c r="V54" s="6">
        <f>IFERROR(INDEX('設定・凡例'!$H$20:$H$24,MATCH(D54,'設定・凡例'!$G$20:$G$24,0)),"")</f>
        <v/>
      </c>
      <c r="W54" s="26">
        <f>IF(E54="","",IF(ISNUMBER(V54),IF(E54&gt;=V54,"○","×"),"-"))</f>
        <v/>
      </c>
    </row>
    <row r="55">
      <c r="A55" s="25" t="n"/>
      <c r="B55" s="26">
        <f>IF(A55="","",TEXT(A55,"YYYY-MM"))</f>
        <v/>
      </c>
      <c r="C55" s="27" t="n"/>
      <c r="D55" s="27" t="n"/>
      <c r="E55" s="9" t="n"/>
      <c r="F55" s="9" t="n"/>
      <c r="G55" s="9" t="n"/>
      <c r="H55" s="28" t="n"/>
      <c r="I55" s="28" t="n"/>
      <c r="J55" s="9" t="n"/>
      <c r="K55" s="9" t="n"/>
      <c r="L55" s="9" t="n"/>
      <c r="M55" s="9" t="n"/>
      <c r="N55" s="9" t="n"/>
      <c r="O55" s="7">
        <f>IFERROR(F55/E55,"")</f>
        <v/>
      </c>
      <c r="P55" s="7">
        <f>IFERROR(G55/E55,"")</f>
        <v/>
      </c>
      <c r="Q55" s="7">
        <f>IFERROR(H55/I55,"")</f>
        <v/>
      </c>
      <c r="R55" s="7">
        <f>IFERROR(J55/E55,"")</f>
        <v/>
      </c>
      <c r="S55" s="7">
        <f>IFERROR(K55/E55,"")</f>
        <v/>
      </c>
      <c r="T55" s="7">
        <f>IFERROR(M55/E55,"")</f>
        <v/>
      </c>
      <c r="U55" s="7">
        <f>IFERROR(N55/E55,"")</f>
        <v/>
      </c>
      <c r="V55" s="6">
        <f>IFERROR(INDEX('設定・凡例'!$H$20:$H$24,MATCH(D55,'設定・凡例'!$G$20:$G$24,0)),"")</f>
        <v/>
      </c>
      <c r="W55" s="26">
        <f>IF(E55="","",IF(ISNUMBER(V55),IF(E55&gt;=V55,"○","×"),"-"))</f>
        <v/>
      </c>
    </row>
    <row r="56">
      <c r="A56" s="25" t="n"/>
      <c r="B56" s="26">
        <f>IF(A56="","",TEXT(A56,"YYYY-MM"))</f>
        <v/>
      </c>
      <c r="C56" s="27" t="n"/>
      <c r="D56" s="27" t="n"/>
      <c r="E56" s="9" t="n"/>
      <c r="F56" s="9" t="n"/>
      <c r="G56" s="9" t="n"/>
      <c r="H56" s="28" t="n"/>
      <c r="I56" s="28" t="n"/>
      <c r="J56" s="9" t="n"/>
      <c r="K56" s="9" t="n"/>
      <c r="L56" s="9" t="n"/>
      <c r="M56" s="9" t="n"/>
      <c r="N56" s="9" t="n"/>
      <c r="O56" s="7">
        <f>IFERROR(F56/E56,"")</f>
        <v/>
      </c>
      <c r="P56" s="7">
        <f>IFERROR(G56/E56,"")</f>
        <v/>
      </c>
      <c r="Q56" s="7">
        <f>IFERROR(H56/I56,"")</f>
        <v/>
      </c>
      <c r="R56" s="7">
        <f>IFERROR(J56/E56,"")</f>
        <v/>
      </c>
      <c r="S56" s="7">
        <f>IFERROR(K56/E56,"")</f>
        <v/>
      </c>
      <c r="T56" s="7">
        <f>IFERROR(M56/E56,"")</f>
        <v/>
      </c>
      <c r="U56" s="7">
        <f>IFERROR(N56/E56,"")</f>
        <v/>
      </c>
      <c r="V56" s="6">
        <f>IFERROR(INDEX('設定・凡例'!$H$20:$H$24,MATCH(D56,'設定・凡例'!$G$20:$G$24,0)),"")</f>
        <v/>
      </c>
      <c r="W56" s="26">
        <f>IF(E56="","",IF(ISNUMBER(V56),IF(E56&gt;=V56,"○","×"),"-"))</f>
        <v/>
      </c>
    </row>
    <row r="57">
      <c r="A57" s="25" t="n"/>
      <c r="B57" s="26">
        <f>IF(A57="","",TEXT(A57,"YYYY-MM"))</f>
        <v/>
      </c>
      <c r="C57" s="27" t="n"/>
      <c r="D57" s="27" t="n"/>
      <c r="E57" s="9" t="n"/>
      <c r="F57" s="9" t="n"/>
      <c r="G57" s="9" t="n"/>
      <c r="H57" s="28" t="n"/>
      <c r="I57" s="28" t="n"/>
      <c r="J57" s="9" t="n"/>
      <c r="K57" s="9" t="n"/>
      <c r="L57" s="9" t="n"/>
      <c r="M57" s="9" t="n"/>
      <c r="N57" s="9" t="n"/>
      <c r="O57" s="7">
        <f>IFERROR(F57/E57,"")</f>
        <v/>
      </c>
      <c r="P57" s="7">
        <f>IFERROR(G57/E57,"")</f>
        <v/>
      </c>
      <c r="Q57" s="7">
        <f>IFERROR(H57/I57,"")</f>
        <v/>
      </c>
      <c r="R57" s="7">
        <f>IFERROR(J57/E57,"")</f>
        <v/>
      </c>
      <c r="S57" s="7">
        <f>IFERROR(K57/E57,"")</f>
        <v/>
      </c>
      <c r="T57" s="7">
        <f>IFERROR(M57/E57,"")</f>
        <v/>
      </c>
      <c r="U57" s="7">
        <f>IFERROR(N57/E57,"")</f>
        <v/>
      </c>
      <c r="V57" s="6">
        <f>IFERROR(INDEX('設定・凡例'!$H$20:$H$24,MATCH(D57,'設定・凡例'!$G$20:$G$24,0)),"")</f>
        <v/>
      </c>
      <c r="W57" s="26">
        <f>IF(E57="","",IF(ISNUMBER(V57),IF(E57&gt;=V57,"○","×"),"-"))</f>
        <v/>
      </c>
    </row>
    <row r="58">
      <c r="A58" s="25" t="n"/>
      <c r="B58" s="26">
        <f>IF(A58="","",TEXT(A58,"YYYY-MM"))</f>
        <v/>
      </c>
      <c r="C58" s="27" t="n"/>
      <c r="D58" s="27" t="n"/>
      <c r="E58" s="9" t="n"/>
      <c r="F58" s="9" t="n"/>
      <c r="G58" s="9" t="n"/>
      <c r="H58" s="28" t="n"/>
      <c r="I58" s="28" t="n"/>
      <c r="J58" s="9" t="n"/>
      <c r="K58" s="9" t="n"/>
      <c r="L58" s="9" t="n"/>
      <c r="M58" s="9" t="n"/>
      <c r="N58" s="9" t="n"/>
      <c r="O58" s="7">
        <f>IFERROR(F58/E58,"")</f>
        <v/>
      </c>
      <c r="P58" s="7">
        <f>IFERROR(G58/E58,"")</f>
        <v/>
      </c>
      <c r="Q58" s="7">
        <f>IFERROR(H58/I58,"")</f>
        <v/>
      </c>
      <c r="R58" s="7">
        <f>IFERROR(J58/E58,"")</f>
        <v/>
      </c>
      <c r="S58" s="7">
        <f>IFERROR(K58/E58,"")</f>
        <v/>
      </c>
      <c r="T58" s="7">
        <f>IFERROR(M58/E58,"")</f>
        <v/>
      </c>
      <c r="U58" s="7">
        <f>IFERROR(N58/E58,"")</f>
        <v/>
      </c>
      <c r="V58" s="6">
        <f>IFERROR(INDEX('設定・凡例'!$H$20:$H$24,MATCH(D58,'設定・凡例'!$G$20:$G$24,0)),"")</f>
        <v/>
      </c>
      <c r="W58" s="26">
        <f>IF(E58="","",IF(ISNUMBER(V58),IF(E58&gt;=V58,"○","×"),"-"))</f>
        <v/>
      </c>
    </row>
    <row r="59">
      <c r="A59" s="25" t="n"/>
      <c r="B59" s="26">
        <f>IF(A59="","",TEXT(A59,"YYYY-MM"))</f>
        <v/>
      </c>
      <c r="C59" s="27" t="n"/>
      <c r="D59" s="27" t="n"/>
      <c r="E59" s="9" t="n"/>
      <c r="F59" s="9" t="n"/>
      <c r="G59" s="9" t="n"/>
      <c r="H59" s="28" t="n"/>
      <c r="I59" s="28" t="n"/>
      <c r="J59" s="9" t="n"/>
      <c r="K59" s="9" t="n"/>
      <c r="L59" s="9" t="n"/>
      <c r="M59" s="9" t="n"/>
      <c r="N59" s="9" t="n"/>
      <c r="O59" s="7">
        <f>IFERROR(F59/E59,"")</f>
        <v/>
      </c>
      <c r="P59" s="7">
        <f>IFERROR(G59/E59,"")</f>
        <v/>
      </c>
      <c r="Q59" s="7">
        <f>IFERROR(H59/I59,"")</f>
        <v/>
      </c>
      <c r="R59" s="7">
        <f>IFERROR(J59/E59,"")</f>
        <v/>
      </c>
      <c r="S59" s="7">
        <f>IFERROR(K59/E59,"")</f>
        <v/>
      </c>
      <c r="T59" s="7">
        <f>IFERROR(M59/E59,"")</f>
        <v/>
      </c>
      <c r="U59" s="7">
        <f>IFERROR(N59/E59,"")</f>
        <v/>
      </c>
      <c r="V59" s="6">
        <f>IFERROR(INDEX('設定・凡例'!$H$20:$H$24,MATCH(D59,'設定・凡例'!$G$20:$G$24,0)),"")</f>
        <v/>
      </c>
      <c r="W59" s="26">
        <f>IF(E59="","",IF(ISNUMBER(V59),IF(E59&gt;=V59,"○","×"),"-"))</f>
        <v/>
      </c>
    </row>
    <row r="60">
      <c r="A60" s="25" t="n"/>
      <c r="B60" s="26">
        <f>IF(A60="","",TEXT(A60,"YYYY-MM"))</f>
        <v/>
      </c>
      <c r="C60" s="27" t="n"/>
      <c r="D60" s="27" t="n"/>
      <c r="E60" s="9" t="n"/>
      <c r="F60" s="9" t="n"/>
      <c r="G60" s="9" t="n"/>
      <c r="H60" s="28" t="n"/>
      <c r="I60" s="28" t="n"/>
      <c r="J60" s="9" t="n"/>
      <c r="K60" s="9" t="n"/>
      <c r="L60" s="9" t="n"/>
      <c r="M60" s="9" t="n"/>
      <c r="N60" s="9" t="n"/>
      <c r="O60" s="7">
        <f>IFERROR(F60/E60,"")</f>
        <v/>
      </c>
      <c r="P60" s="7">
        <f>IFERROR(G60/E60,"")</f>
        <v/>
      </c>
      <c r="Q60" s="7">
        <f>IFERROR(H60/I60,"")</f>
        <v/>
      </c>
      <c r="R60" s="7">
        <f>IFERROR(J60/E60,"")</f>
        <v/>
      </c>
      <c r="S60" s="7">
        <f>IFERROR(K60/E60,"")</f>
        <v/>
      </c>
      <c r="T60" s="7">
        <f>IFERROR(M60/E60,"")</f>
        <v/>
      </c>
      <c r="U60" s="7">
        <f>IFERROR(N60/E60,"")</f>
        <v/>
      </c>
      <c r="V60" s="6">
        <f>IFERROR(INDEX('設定・凡例'!$H$20:$H$24,MATCH(D60,'設定・凡例'!$G$20:$G$24,0)),"")</f>
        <v/>
      </c>
      <c r="W60" s="26">
        <f>IF(E60="","",IF(ISNUMBER(V60),IF(E60&gt;=V60,"○","×"),"-"))</f>
        <v/>
      </c>
    </row>
    <row r="61">
      <c r="A61" s="25" t="n"/>
      <c r="B61" s="26">
        <f>IF(A61="","",TEXT(A61,"YYYY-MM"))</f>
        <v/>
      </c>
      <c r="C61" s="27" t="n"/>
      <c r="D61" s="27" t="n"/>
      <c r="E61" s="9" t="n"/>
      <c r="F61" s="9" t="n"/>
      <c r="G61" s="9" t="n"/>
      <c r="H61" s="28" t="n"/>
      <c r="I61" s="28" t="n"/>
      <c r="J61" s="9" t="n"/>
      <c r="K61" s="9" t="n"/>
      <c r="L61" s="9" t="n"/>
      <c r="M61" s="9" t="n"/>
      <c r="N61" s="9" t="n"/>
      <c r="O61" s="7">
        <f>IFERROR(F61/E61,"")</f>
        <v/>
      </c>
      <c r="P61" s="7">
        <f>IFERROR(G61/E61,"")</f>
        <v/>
      </c>
      <c r="Q61" s="7">
        <f>IFERROR(H61/I61,"")</f>
        <v/>
      </c>
      <c r="R61" s="7">
        <f>IFERROR(J61/E61,"")</f>
        <v/>
      </c>
      <c r="S61" s="7">
        <f>IFERROR(K61/E61,"")</f>
        <v/>
      </c>
      <c r="T61" s="7">
        <f>IFERROR(M61/E61,"")</f>
        <v/>
      </c>
      <c r="U61" s="7">
        <f>IFERROR(N61/E61,"")</f>
        <v/>
      </c>
      <c r="V61" s="6">
        <f>IFERROR(INDEX('設定・凡例'!$H$20:$H$24,MATCH(D61,'設定・凡例'!$G$20:$G$24,0)),"")</f>
        <v/>
      </c>
      <c r="W61" s="26">
        <f>IF(E61="","",IF(ISNUMBER(V61),IF(E61&gt;=V61,"○","×"),"-"))</f>
        <v/>
      </c>
    </row>
    <row r="62">
      <c r="A62" s="25" t="n"/>
      <c r="B62" s="26">
        <f>IF(A62="","",TEXT(A62,"YYYY-MM"))</f>
        <v/>
      </c>
      <c r="C62" s="27" t="n"/>
      <c r="D62" s="27" t="n"/>
      <c r="E62" s="9" t="n"/>
      <c r="F62" s="9" t="n"/>
      <c r="G62" s="9" t="n"/>
      <c r="H62" s="28" t="n"/>
      <c r="I62" s="28" t="n"/>
      <c r="J62" s="9" t="n"/>
      <c r="K62" s="9" t="n"/>
      <c r="L62" s="9" t="n"/>
      <c r="M62" s="9" t="n"/>
      <c r="N62" s="9" t="n"/>
      <c r="O62" s="7">
        <f>IFERROR(F62/E62,"")</f>
        <v/>
      </c>
      <c r="P62" s="7">
        <f>IFERROR(G62/E62,"")</f>
        <v/>
      </c>
      <c r="Q62" s="7">
        <f>IFERROR(H62/I62,"")</f>
        <v/>
      </c>
      <c r="R62" s="7">
        <f>IFERROR(J62/E62,"")</f>
        <v/>
      </c>
      <c r="S62" s="7">
        <f>IFERROR(K62/E62,"")</f>
        <v/>
      </c>
      <c r="T62" s="7">
        <f>IFERROR(M62/E62,"")</f>
        <v/>
      </c>
      <c r="U62" s="7">
        <f>IFERROR(N62/E62,"")</f>
        <v/>
      </c>
      <c r="V62" s="6">
        <f>IFERROR(INDEX('設定・凡例'!$H$20:$H$24,MATCH(D62,'設定・凡例'!$G$20:$G$24,0)),"")</f>
        <v/>
      </c>
      <c r="W62" s="26">
        <f>IF(E62="","",IF(ISNUMBER(V62),IF(E62&gt;=V62,"○","×"),"-"))</f>
        <v/>
      </c>
    </row>
    <row r="63">
      <c r="A63" s="25" t="n"/>
      <c r="B63" s="26">
        <f>IF(A63="","",TEXT(A63,"YYYY-MM"))</f>
        <v/>
      </c>
      <c r="C63" s="27" t="n"/>
      <c r="D63" s="27" t="n"/>
      <c r="E63" s="9" t="n"/>
      <c r="F63" s="9" t="n"/>
      <c r="G63" s="9" t="n"/>
      <c r="H63" s="28" t="n"/>
      <c r="I63" s="28" t="n"/>
      <c r="J63" s="9" t="n"/>
      <c r="K63" s="9" t="n"/>
      <c r="L63" s="9" t="n"/>
      <c r="M63" s="9" t="n"/>
      <c r="N63" s="9" t="n"/>
      <c r="O63" s="7">
        <f>IFERROR(F63/E63,"")</f>
        <v/>
      </c>
      <c r="P63" s="7">
        <f>IFERROR(G63/E63,"")</f>
        <v/>
      </c>
      <c r="Q63" s="7">
        <f>IFERROR(H63/I63,"")</f>
        <v/>
      </c>
      <c r="R63" s="7">
        <f>IFERROR(J63/E63,"")</f>
        <v/>
      </c>
      <c r="S63" s="7">
        <f>IFERROR(K63/E63,"")</f>
        <v/>
      </c>
      <c r="T63" s="7">
        <f>IFERROR(M63/E63,"")</f>
        <v/>
      </c>
      <c r="U63" s="7">
        <f>IFERROR(N63/E63,"")</f>
        <v/>
      </c>
      <c r="V63" s="6">
        <f>IFERROR(INDEX('設定・凡例'!$H$20:$H$24,MATCH(D63,'設定・凡例'!$G$20:$G$24,0)),"")</f>
        <v/>
      </c>
      <c r="W63" s="26">
        <f>IF(E63="","",IF(ISNUMBER(V63),IF(E63&gt;=V63,"○","×"),"-"))</f>
        <v/>
      </c>
    </row>
    <row r="64">
      <c r="A64" s="25" t="n"/>
      <c r="B64" s="26">
        <f>IF(A64="","",TEXT(A64,"YYYY-MM"))</f>
        <v/>
      </c>
      <c r="C64" s="27" t="n"/>
      <c r="D64" s="27" t="n"/>
      <c r="E64" s="9" t="n"/>
      <c r="F64" s="9" t="n"/>
      <c r="G64" s="9" t="n"/>
      <c r="H64" s="28" t="n"/>
      <c r="I64" s="28" t="n"/>
      <c r="J64" s="9" t="n"/>
      <c r="K64" s="9" t="n"/>
      <c r="L64" s="9" t="n"/>
      <c r="M64" s="9" t="n"/>
      <c r="N64" s="9" t="n"/>
      <c r="O64" s="7">
        <f>IFERROR(F64/E64,"")</f>
        <v/>
      </c>
      <c r="P64" s="7">
        <f>IFERROR(G64/E64,"")</f>
        <v/>
      </c>
      <c r="Q64" s="7">
        <f>IFERROR(H64/I64,"")</f>
        <v/>
      </c>
      <c r="R64" s="7">
        <f>IFERROR(J64/E64,"")</f>
        <v/>
      </c>
      <c r="S64" s="7">
        <f>IFERROR(K64/E64,"")</f>
        <v/>
      </c>
      <c r="T64" s="7">
        <f>IFERROR(M64/E64,"")</f>
        <v/>
      </c>
      <c r="U64" s="7">
        <f>IFERROR(N64/E64,"")</f>
        <v/>
      </c>
      <c r="V64" s="6">
        <f>IFERROR(INDEX('設定・凡例'!$H$20:$H$24,MATCH(D64,'設定・凡例'!$G$20:$G$24,0)),"")</f>
        <v/>
      </c>
      <c r="W64" s="26">
        <f>IF(E64="","",IF(ISNUMBER(V64),IF(E64&gt;=V64,"○","×"),"-"))</f>
        <v/>
      </c>
    </row>
    <row r="65">
      <c r="A65" s="25" t="n"/>
      <c r="B65" s="26">
        <f>IF(A65="","",TEXT(A65,"YYYY-MM"))</f>
        <v/>
      </c>
      <c r="C65" s="27" t="n"/>
      <c r="D65" s="27" t="n"/>
      <c r="E65" s="9" t="n"/>
      <c r="F65" s="9" t="n"/>
      <c r="G65" s="9" t="n"/>
      <c r="H65" s="28" t="n"/>
      <c r="I65" s="28" t="n"/>
      <c r="J65" s="9" t="n"/>
      <c r="K65" s="9" t="n"/>
      <c r="L65" s="9" t="n"/>
      <c r="M65" s="9" t="n"/>
      <c r="N65" s="9" t="n"/>
      <c r="O65" s="7">
        <f>IFERROR(F65/E65,"")</f>
        <v/>
      </c>
      <c r="P65" s="7">
        <f>IFERROR(G65/E65,"")</f>
        <v/>
      </c>
      <c r="Q65" s="7">
        <f>IFERROR(H65/I65,"")</f>
        <v/>
      </c>
      <c r="R65" s="7">
        <f>IFERROR(J65/E65,"")</f>
        <v/>
      </c>
      <c r="S65" s="7">
        <f>IFERROR(K65/E65,"")</f>
        <v/>
      </c>
      <c r="T65" s="7">
        <f>IFERROR(M65/E65,"")</f>
        <v/>
      </c>
      <c r="U65" s="7">
        <f>IFERROR(N65/E65,"")</f>
        <v/>
      </c>
      <c r="V65" s="6">
        <f>IFERROR(INDEX('設定・凡例'!$H$20:$H$24,MATCH(D65,'設定・凡例'!$G$20:$G$24,0)),"")</f>
        <v/>
      </c>
      <c r="W65" s="26">
        <f>IF(E65="","",IF(ISNUMBER(V65),IF(E65&gt;=V65,"○","×"),"-"))</f>
        <v/>
      </c>
    </row>
    <row r="66">
      <c r="A66" s="25" t="n"/>
      <c r="B66" s="26">
        <f>IF(A66="","",TEXT(A66,"YYYY-MM"))</f>
        <v/>
      </c>
      <c r="C66" s="27" t="n"/>
      <c r="D66" s="27" t="n"/>
      <c r="E66" s="9" t="n"/>
      <c r="F66" s="9" t="n"/>
      <c r="G66" s="9" t="n"/>
      <c r="H66" s="28" t="n"/>
      <c r="I66" s="28" t="n"/>
      <c r="J66" s="9" t="n"/>
      <c r="K66" s="9" t="n"/>
      <c r="L66" s="9" t="n"/>
      <c r="M66" s="9" t="n"/>
      <c r="N66" s="9" t="n"/>
      <c r="O66" s="7">
        <f>IFERROR(F66/E66,"")</f>
        <v/>
      </c>
      <c r="P66" s="7">
        <f>IFERROR(G66/E66,"")</f>
        <v/>
      </c>
      <c r="Q66" s="7">
        <f>IFERROR(H66/I66,"")</f>
        <v/>
      </c>
      <c r="R66" s="7">
        <f>IFERROR(J66/E66,"")</f>
        <v/>
      </c>
      <c r="S66" s="7">
        <f>IFERROR(K66/E66,"")</f>
        <v/>
      </c>
      <c r="T66" s="7">
        <f>IFERROR(M66/E66,"")</f>
        <v/>
      </c>
      <c r="U66" s="7">
        <f>IFERROR(N66/E66,"")</f>
        <v/>
      </c>
      <c r="V66" s="6">
        <f>IFERROR(INDEX('設定・凡例'!$H$20:$H$24,MATCH(D66,'設定・凡例'!$G$20:$G$24,0)),"")</f>
        <v/>
      </c>
      <c r="W66" s="26">
        <f>IF(E66="","",IF(ISNUMBER(V66),IF(E66&gt;=V66,"○","×"),"-"))</f>
        <v/>
      </c>
    </row>
    <row r="67">
      <c r="A67" s="25" t="n"/>
      <c r="B67" s="26">
        <f>IF(A67="","",TEXT(A67,"YYYY-MM"))</f>
        <v/>
      </c>
      <c r="C67" s="27" t="n"/>
      <c r="D67" s="27" t="n"/>
      <c r="E67" s="9" t="n"/>
      <c r="F67" s="9" t="n"/>
      <c r="G67" s="9" t="n"/>
      <c r="H67" s="28" t="n"/>
      <c r="I67" s="28" t="n"/>
      <c r="J67" s="9" t="n"/>
      <c r="K67" s="9" t="n"/>
      <c r="L67" s="9" t="n"/>
      <c r="M67" s="9" t="n"/>
      <c r="N67" s="9" t="n"/>
      <c r="O67" s="7">
        <f>IFERROR(F67/E67,"")</f>
        <v/>
      </c>
      <c r="P67" s="7">
        <f>IFERROR(G67/E67,"")</f>
        <v/>
      </c>
      <c r="Q67" s="7">
        <f>IFERROR(H67/I67,"")</f>
        <v/>
      </c>
      <c r="R67" s="7">
        <f>IFERROR(J67/E67,"")</f>
        <v/>
      </c>
      <c r="S67" s="7">
        <f>IFERROR(K67/E67,"")</f>
        <v/>
      </c>
      <c r="T67" s="7">
        <f>IFERROR(M67/E67,"")</f>
        <v/>
      </c>
      <c r="U67" s="7">
        <f>IFERROR(N67/E67,"")</f>
        <v/>
      </c>
      <c r="V67" s="6">
        <f>IFERROR(INDEX('設定・凡例'!$H$20:$H$24,MATCH(D67,'設定・凡例'!$G$20:$G$24,0)),"")</f>
        <v/>
      </c>
      <c r="W67" s="26">
        <f>IF(E67="","",IF(ISNUMBER(V67),IF(E67&gt;=V67,"○","×"),"-"))</f>
        <v/>
      </c>
    </row>
    <row r="68">
      <c r="A68" s="25" t="n"/>
      <c r="B68" s="26">
        <f>IF(A68="","",TEXT(A68,"YYYY-MM"))</f>
        <v/>
      </c>
      <c r="C68" s="27" t="n"/>
      <c r="D68" s="27" t="n"/>
      <c r="E68" s="9" t="n"/>
      <c r="F68" s="9" t="n"/>
      <c r="G68" s="9" t="n"/>
      <c r="H68" s="28" t="n"/>
      <c r="I68" s="28" t="n"/>
      <c r="J68" s="9" t="n"/>
      <c r="K68" s="9" t="n"/>
      <c r="L68" s="9" t="n"/>
      <c r="M68" s="9" t="n"/>
      <c r="N68" s="9" t="n"/>
      <c r="O68" s="7">
        <f>IFERROR(F68/E68,"")</f>
        <v/>
      </c>
      <c r="P68" s="7">
        <f>IFERROR(G68/E68,"")</f>
        <v/>
      </c>
      <c r="Q68" s="7">
        <f>IFERROR(H68/I68,"")</f>
        <v/>
      </c>
      <c r="R68" s="7">
        <f>IFERROR(J68/E68,"")</f>
        <v/>
      </c>
      <c r="S68" s="7">
        <f>IFERROR(K68/E68,"")</f>
        <v/>
      </c>
      <c r="T68" s="7">
        <f>IFERROR(M68/E68,"")</f>
        <v/>
      </c>
      <c r="U68" s="7">
        <f>IFERROR(N68/E68,"")</f>
        <v/>
      </c>
      <c r="V68" s="6">
        <f>IFERROR(INDEX('設定・凡例'!$H$20:$H$24,MATCH(D68,'設定・凡例'!$G$20:$G$24,0)),"")</f>
        <v/>
      </c>
      <c r="W68" s="26">
        <f>IF(E68="","",IF(ISNUMBER(V68),IF(E68&gt;=V68,"○","×"),"-"))</f>
        <v/>
      </c>
    </row>
    <row r="69">
      <c r="A69" s="25" t="n"/>
      <c r="B69" s="26">
        <f>IF(A69="","",TEXT(A69,"YYYY-MM"))</f>
        <v/>
      </c>
      <c r="C69" s="27" t="n"/>
      <c r="D69" s="27" t="n"/>
      <c r="E69" s="9" t="n"/>
      <c r="F69" s="9" t="n"/>
      <c r="G69" s="9" t="n"/>
      <c r="H69" s="28" t="n"/>
      <c r="I69" s="28" t="n"/>
      <c r="J69" s="9" t="n"/>
      <c r="K69" s="9" t="n"/>
      <c r="L69" s="9" t="n"/>
      <c r="M69" s="9" t="n"/>
      <c r="N69" s="9" t="n"/>
      <c r="O69" s="7">
        <f>IFERROR(F69/E69,"")</f>
        <v/>
      </c>
      <c r="P69" s="7">
        <f>IFERROR(G69/E69,"")</f>
        <v/>
      </c>
      <c r="Q69" s="7">
        <f>IFERROR(H69/I69,"")</f>
        <v/>
      </c>
      <c r="R69" s="7">
        <f>IFERROR(J69/E69,"")</f>
        <v/>
      </c>
      <c r="S69" s="7">
        <f>IFERROR(K69/E69,"")</f>
        <v/>
      </c>
      <c r="T69" s="7">
        <f>IFERROR(M69/E69,"")</f>
        <v/>
      </c>
      <c r="U69" s="7">
        <f>IFERROR(N69/E69,"")</f>
        <v/>
      </c>
      <c r="V69" s="6">
        <f>IFERROR(INDEX('設定・凡例'!$H$20:$H$24,MATCH(D69,'設定・凡例'!$G$20:$G$24,0)),"")</f>
        <v/>
      </c>
      <c r="W69" s="26">
        <f>IF(E69="","",IF(ISNUMBER(V69),IF(E69&gt;=V69,"○","×"),"-"))</f>
        <v/>
      </c>
    </row>
    <row r="70">
      <c r="A70" s="25" t="n"/>
      <c r="B70" s="26">
        <f>IF(A70="","",TEXT(A70,"YYYY-MM"))</f>
        <v/>
      </c>
      <c r="C70" s="27" t="n"/>
      <c r="D70" s="27" t="n"/>
      <c r="E70" s="9" t="n"/>
      <c r="F70" s="9" t="n"/>
      <c r="G70" s="9" t="n"/>
      <c r="H70" s="28" t="n"/>
      <c r="I70" s="28" t="n"/>
      <c r="J70" s="9" t="n"/>
      <c r="K70" s="9" t="n"/>
      <c r="L70" s="9" t="n"/>
      <c r="M70" s="9" t="n"/>
      <c r="N70" s="9" t="n"/>
      <c r="O70" s="7">
        <f>IFERROR(F70/E70,"")</f>
        <v/>
      </c>
      <c r="P70" s="7">
        <f>IFERROR(G70/E70,"")</f>
        <v/>
      </c>
      <c r="Q70" s="7">
        <f>IFERROR(H70/I70,"")</f>
        <v/>
      </c>
      <c r="R70" s="7">
        <f>IFERROR(J70/E70,"")</f>
        <v/>
      </c>
      <c r="S70" s="7">
        <f>IFERROR(K70/E70,"")</f>
        <v/>
      </c>
      <c r="T70" s="7">
        <f>IFERROR(M70/E70,"")</f>
        <v/>
      </c>
      <c r="U70" s="7">
        <f>IFERROR(N70/E70,"")</f>
        <v/>
      </c>
      <c r="V70" s="6">
        <f>IFERROR(INDEX('設定・凡例'!$H$20:$H$24,MATCH(D70,'設定・凡例'!$G$20:$G$24,0)),"")</f>
        <v/>
      </c>
      <c r="W70" s="26">
        <f>IF(E70="","",IF(ISNUMBER(V70),IF(E70&gt;=V70,"○","×"),"-"))</f>
        <v/>
      </c>
    </row>
    <row r="71">
      <c r="A71" s="25" t="n"/>
      <c r="B71" s="26">
        <f>IF(A71="","",TEXT(A71,"YYYY-MM"))</f>
        <v/>
      </c>
      <c r="C71" s="27" t="n"/>
      <c r="D71" s="27" t="n"/>
      <c r="E71" s="9" t="n"/>
      <c r="F71" s="9" t="n"/>
      <c r="G71" s="9" t="n"/>
      <c r="H71" s="28" t="n"/>
      <c r="I71" s="28" t="n"/>
      <c r="J71" s="9" t="n"/>
      <c r="K71" s="9" t="n"/>
      <c r="L71" s="9" t="n"/>
      <c r="M71" s="9" t="n"/>
      <c r="N71" s="9" t="n"/>
      <c r="O71" s="7">
        <f>IFERROR(F71/E71,"")</f>
        <v/>
      </c>
      <c r="P71" s="7">
        <f>IFERROR(G71/E71,"")</f>
        <v/>
      </c>
      <c r="Q71" s="7">
        <f>IFERROR(H71/I71,"")</f>
        <v/>
      </c>
      <c r="R71" s="7">
        <f>IFERROR(J71/E71,"")</f>
        <v/>
      </c>
      <c r="S71" s="7">
        <f>IFERROR(K71/E71,"")</f>
        <v/>
      </c>
      <c r="T71" s="7">
        <f>IFERROR(M71/E71,"")</f>
        <v/>
      </c>
      <c r="U71" s="7">
        <f>IFERROR(N71/E71,"")</f>
        <v/>
      </c>
      <c r="V71" s="6">
        <f>IFERROR(INDEX('設定・凡例'!$H$20:$H$24,MATCH(D71,'設定・凡例'!$G$20:$G$24,0)),"")</f>
        <v/>
      </c>
      <c r="W71" s="26">
        <f>IF(E71="","",IF(ISNUMBER(V71),IF(E71&gt;=V71,"○","×"),"-"))</f>
        <v/>
      </c>
    </row>
    <row r="72">
      <c r="A72" s="25" t="n"/>
      <c r="B72" s="26">
        <f>IF(A72="","",TEXT(A72,"YYYY-MM"))</f>
        <v/>
      </c>
      <c r="C72" s="27" t="n"/>
      <c r="D72" s="27" t="n"/>
      <c r="E72" s="9" t="n"/>
      <c r="F72" s="9" t="n"/>
      <c r="G72" s="9" t="n"/>
      <c r="H72" s="28" t="n"/>
      <c r="I72" s="28" t="n"/>
      <c r="J72" s="9" t="n"/>
      <c r="K72" s="9" t="n"/>
      <c r="L72" s="9" t="n"/>
      <c r="M72" s="9" t="n"/>
      <c r="N72" s="9" t="n"/>
      <c r="O72" s="7">
        <f>IFERROR(F72/E72,"")</f>
        <v/>
      </c>
      <c r="P72" s="7">
        <f>IFERROR(G72/E72,"")</f>
        <v/>
      </c>
      <c r="Q72" s="7">
        <f>IFERROR(H72/I72,"")</f>
        <v/>
      </c>
      <c r="R72" s="7">
        <f>IFERROR(J72/E72,"")</f>
        <v/>
      </c>
      <c r="S72" s="7">
        <f>IFERROR(K72/E72,"")</f>
        <v/>
      </c>
      <c r="T72" s="7">
        <f>IFERROR(M72/E72,"")</f>
        <v/>
      </c>
      <c r="U72" s="7">
        <f>IFERROR(N72/E72,"")</f>
        <v/>
      </c>
      <c r="V72" s="6">
        <f>IFERROR(INDEX('設定・凡例'!$H$20:$H$24,MATCH(D72,'設定・凡例'!$G$20:$G$24,0)),"")</f>
        <v/>
      </c>
      <c r="W72" s="26">
        <f>IF(E72="","",IF(ISNUMBER(V72),IF(E72&gt;=V72,"○","×"),"-"))</f>
        <v/>
      </c>
    </row>
    <row r="73">
      <c r="A73" s="25" t="n"/>
      <c r="B73" s="26">
        <f>IF(A73="","",TEXT(A73,"YYYY-MM"))</f>
        <v/>
      </c>
      <c r="C73" s="27" t="n"/>
      <c r="D73" s="27" t="n"/>
      <c r="E73" s="9" t="n"/>
      <c r="F73" s="9" t="n"/>
      <c r="G73" s="9" t="n"/>
      <c r="H73" s="28" t="n"/>
      <c r="I73" s="28" t="n"/>
      <c r="J73" s="9" t="n"/>
      <c r="K73" s="9" t="n"/>
      <c r="L73" s="9" t="n"/>
      <c r="M73" s="9" t="n"/>
      <c r="N73" s="9" t="n"/>
      <c r="O73" s="7">
        <f>IFERROR(F73/E73,"")</f>
        <v/>
      </c>
      <c r="P73" s="7">
        <f>IFERROR(G73/E73,"")</f>
        <v/>
      </c>
      <c r="Q73" s="7">
        <f>IFERROR(H73/I73,"")</f>
        <v/>
      </c>
      <c r="R73" s="7">
        <f>IFERROR(J73/E73,"")</f>
        <v/>
      </c>
      <c r="S73" s="7">
        <f>IFERROR(K73/E73,"")</f>
        <v/>
      </c>
      <c r="T73" s="7">
        <f>IFERROR(M73/E73,"")</f>
        <v/>
      </c>
      <c r="U73" s="7">
        <f>IFERROR(N73/E73,"")</f>
        <v/>
      </c>
      <c r="V73" s="6">
        <f>IFERROR(INDEX('設定・凡例'!$H$20:$H$24,MATCH(D73,'設定・凡例'!$G$20:$G$24,0)),"")</f>
        <v/>
      </c>
      <c r="W73" s="26">
        <f>IF(E73="","",IF(ISNUMBER(V73),IF(E73&gt;=V73,"○","×"),"-"))</f>
        <v/>
      </c>
    </row>
    <row r="74">
      <c r="A74" s="25" t="n"/>
      <c r="B74" s="26">
        <f>IF(A74="","",TEXT(A74,"YYYY-MM"))</f>
        <v/>
      </c>
      <c r="C74" s="27" t="n"/>
      <c r="D74" s="27" t="n"/>
      <c r="E74" s="9" t="n"/>
      <c r="F74" s="9" t="n"/>
      <c r="G74" s="9" t="n"/>
      <c r="H74" s="28" t="n"/>
      <c r="I74" s="28" t="n"/>
      <c r="J74" s="9" t="n"/>
      <c r="K74" s="9" t="n"/>
      <c r="L74" s="9" t="n"/>
      <c r="M74" s="9" t="n"/>
      <c r="N74" s="9" t="n"/>
      <c r="O74" s="7">
        <f>IFERROR(F74/E74,"")</f>
        <v/>
      </c>
      <c r="P74" s="7">
        <f>IFERROR(G74/E74,"")</f>
        <v/>
      </c>
      <c r="Q74" s="7">
        <f>IFERROR(H74/I74,"")</f>
        <v/>
      </c>
      <c r="R74" s="7">
        <f>IFERROR(J74/E74,"")</f>
        <v/>
      </c>
      <c r="S74" s="7">
        <f>IFERROR(K74/E74,"")</f>
        <v/>
      </c>
      <c r="T74" s="7">
        <f>IFERROR(M74/E74,"")</f>
        <v/>
      </c>
      <c r="U74" s="7">
        <f>IFERROR(N74/E74,"")</f>
        <v/>
      </c>
      <c r="V74" s="6">
        <f>IFERROR(INDEX('設定・凡例'!$H$20:$H$24,MATCH(D74,'設定・凡例'!$G$20:$G$24,0)),"")</f>
        <v/>
      </c>
      <c r="W74" s="26">
        <f>IF(E74="","",IF(ISNUMBER(V74),IF(E74&gt;=V74,"○","×"),"-"))</f>
        <v/>
      </c>
    </row>
    <row r="75">
      <c r="A75" s="25" t="n"/>
      <c r="B75" s="26">
        <f>IF(A75="","",TEXT(A75,"YYYY-MM"))</f>
        <v/>
      </c>
      <c r="C75" s="27" t="n"/>
      <c r="D75" s="27" t="n"/>
      <c r="E75" s="9" t="n"/>
      <c r="F75" s="9" t="n"/>
      <c r="G75" s="9" t="n"/>
      <c r="H75" s="28" t="n"/>
      <c r="I75" s="28" t="n"/>
      <c r="J75" s="9" t="n"/>
      <c r="K75" s="9" t="n"/>
      <c r="L75" s="9" t="n"/>
      <c r="M75" s="9" t="n"/>
      <c r="N75" s="9" t="n"/>
      <c r="O75" s="7">
        <f>IFERROR(F75/E75,"")</f>
        <v/>
      </c>
      <c r="P75" s="7">
        <f>IFERROR(G75/E75,"")</f>
        <v/>
      </c>
      <c r="Q75" s="7">
        <f>IFERROR(H75/I75,"")</f>
        <v/>
      </c>
      <c r="R75" s="7">
        <f>IFERROR(J75/E75,"")</f>
        <v/>
      </c>
      <c r="S75" s="7">
        <f>IFERROR(K75/E75,"")</f>
        <v/>
      </c>
      <c r="T75" s="7">
        <f>IFERROR(M75/E75,"")</f>
        <v/>
      </c>
      <c r="U75" s="7">
        <f>IFERROR(N75/E75,"")</f>
        <v/>
      </c>
      <c r="V75" s="6">
        <f>IFERROR(INDEX('設定・凡例'!$H$20:$H$24,MATCH(D75,'設定・凡例'!$G$20:$G$24,0)),"")</f>
        <v/>
      </c>
      <c r="W75" s="26">
        <f>IF(E75="","",IF(ISNUMBER(V75),IF(E75&gt;=V75,"○","×"),"-"))</f>
        <v/>
      </c>
    </row>
    <row r="76">
      <c r="A76" s="25" t="n"/>
      <c r="B76" s="26">
        <f>IF(A76="","",TEXT(A76,"YYYY-MM"))</f>
        <v/>
      </c>
      <c r="C76" s="27" t="n"/>
      <c r="D76" s="27" t="n"/>
      <c r="E76" s="9" t="n"/>
      <c r="F76" s="9" t="n"/>
      <c r="G76" s="9" t="n"/>
      <c r="H76" s="28" t="n"/>
      <c r="I76" s="28" t="n"/>
      <c r="J76" s="9" t="n"/>
      <c r="K76" s="9" t="n"/>
      <c r="L76" s="9" t="n"/>
      <c r="M76" s="9" t="n"/>
      <c r="N76" s="9" t="n"/>
      <c r="O76" s="7">
        <f>IFERROR(F76/E76,"")</f>
        <v/>
      </c>
      <c r="P76" s="7">
        <f>IFERROR(G76/E76,"")</f>
        <v/>
      </c>
      <c r="Q76" s="7">
        <f>IFERROR(H76/I76,"")</f>
        <v/>
      </c>
      <c r="R76" s="7">
        <f>IFERROR(J76/E76,"")</f>
        <v/>
      </c>
      <c r="S76" s="7">
        <f>IFERROR(K76/E76,"")</f>
        <v/>
      </c>
      <c r="T76" s="7">
        <f>IFERROR(M76/E76,"")</f>
        <v/>
      </c>
      <c r="U76" s="7">
        <f>IFERROR(N76/E76,"")</f>
        <v/>
      </c>
      <c r="V76" s="6">
        <f>IFERROR(INDEX('設定・凡例'!$H$20:$H$24,MATCH(D76,'設定・凡例'!$G$20:$G$24,0)),"")</f>
        <v/>
      </c>
      <c r="W76" s="26">
        <f>IF(E76="","",IF(ISNUMBER(V76),IF(E76&gt;=V76,"○","×"),"-"))</f>
        <v/>
      </c>
    </row>
    <row r="77">
      <c r="A77" s="25" t="n"/>
      <c r="B77" s="26">
        <f>IF(A77="","",TEXT(A77,"YYYY-MM"))</f>
        <v/>
      </c>
      <c r="C77" s="27" t="n"/>
      <c r="D77" s="27" t="n"/>
      <c r="E77" s="9" t="n"/>
      <c r="F77" s="9" t="n"/>
      <c r="G77" s="9" t="n"/>
      <c r="H77" s="28" t="n"/>
      <c r="I77" s="28" t="n"/>
      <c r="J77" s="9" t="n"/>
      <c r="K77" s="9" t="n"/>
      <c r="L77" s="9" t="n"/>
      <c r="M77" s="9" t="n"/>
      <c r="N77" s="9" t="n"/>
      <c r="O77" s="7">
        <f>IFERROR(F77/E77,"")</f>
        <v/>
      </c>
      <c r="P77" s="7">
        <f>IFERROR(G77/E77,"")</f>
        <v/>
      </c>
      <c r="Q77" s="7">
        <f>IFERROR(H77/I77,"")</f>
        <v/>
      </c>
      <c r="R77" s="7">
        <f>IFERROR(J77/E77,"")</f>
        <v/>
      </c>
      <c r="S77" s="7">
        <f>IFERROR(K77/E77,"")</f>
        <v/>
      </c>
      <c r="T77" s="7">
        <f>IFERROR(M77/E77,"")</f>
        <v/>
      </c>
      <c r="U77" s="7">
        <f>IFERROR(N77/E77,"")</f>
        <v/>
      </c>
      <c r="V77" s="6">
        <f>IFERROR(INDEX('設定・凡例'!$H$20:$H$24,MATCH(D77,'設定・凡例'!$G$20:$G$24,0)),"")</f>
        <v/>
      </c>
      <c r="W77" s="26">
        <f>IF(E77="","",IF(ISNUMBER(V77),IF(E77&gt;=V77,"○","×"),"-"))</f>
        <v/>
      </c>
    </row>
    <row r="78">
      <c r="A78" s="25" t="n"/>
      <c r="B78" s="26">
        <f>IF(A78="","",TEXT(A78,"YYYY-MM"))</f>
        <v/>
      </c>
      <c r="C78" s="27" t="n"/>
      <c r="D78" s="27" t="n"/>
      <c r="E78" s="9" t="n"/>
      <c r="F78" s="9" t="n"/>
      <c r="G78" s="9" t="n"/>
      <c r="H78" s="28" t="n"/>
      <c r="I78" s="28" t="n"/>
      <c r="J78" s="9" t="n"/>
      <c r="K78" s="9" t="n"/>
      <c r="L78" s="9" t="n"/>
      <c r="M78" s="9" t="n"/>
      <c r="N78" s="9" t="n"/>
      <c r="O78" s="7">
        <f>IFERROR(F78/E78,"")</f>
        <v/>
      </c>
      <c r="P78" s="7">
        <f>IFERROR(G78/E78,"")</f>
        <v/>
      </c>
      <c r="Q78" s="7">
        <f>IFERROR(H78/I78,"")</f>
        <v/>
      </c>
      <c r="R78" s="7">
        <f>IFERROR(J78/E78,"")</f>
        <v/>
      </c>
      <c r="S78" s="7">
        <f>IFERROR(K78/E78,"")</f>
        <v/>
      </c>
      <c r="T78" s="7">
        <f>IFERROR(M78/E78,"")</f>
        <v/>
      </c>
      <c r="U78" s="7">
        <f>IFERROR(N78/E78,"")</f>
        <v/>
      </c>
      <c r="V78" s="6">
        <f>IFERROR(INDEX('設定・凡例'!$H$20:$H$24,MATCH(D78,'設定・凡例'!$G$20:$G$24,0)),"")</f>
        <v/>
      </c>
      <c r="W78" s="26">
        <f>IF(E78="","",IF(ISNUMBER(V78),IF(E78&gt;=V78,"○","×"),"-"))</f>
        <v/>
      </c>
    </row>
    <row r="79">
      <c r="A79" s="25" t="n"/>
      <c r="B79" s="26">
        <f>IF(A79="","",TEXT(A79,"YYYY-MM"))</f>
        <v/>
      </c>
      <c r="C79" s="27" t="n"/>
      <c r="D79" s="27" t="n"/>
      <c r="E79" s="9" t="n"/>
      <c r="F79" s="9" t="n"/>
      <c r="G79" s="9" t="n"/>
      <c r="H79" s="28" t="n"/>
      <c r="I79" s="28" t="n"/>
      <c r="J79" s="9" t="n"/>
      <c r="K79" s="9" t="n"/>
      <c r="L79" s="9" t="n"/>
      <c r="M79" s="9" t="n"/>
      <c r="N79" s="9" t="n"/>
      <c r="O79" s="7">
        <f>IFERROR(F79/E79,"")</f>
        <v/>
      </c>
      <c r="P79" s="7">
        <f>IFERROR(G79/E79,"")</f>
        <v/>
      </c>
      <c r="Q79" s="7">
        <f>IFERROR(H79/I79,"")</f>
        <v/>
      </c>
      <c r="R79" s="7">
        <f>IFERROR(J79/E79,"")</f>
        <v/>
      </c>
      <c r="S79" s="7">
        <f>IFERROR(K79/E79,"")</f>
        <v/>
      </c>
      <c r="T79" s="7">
        <f>IFERROR(M79/E79,"")</f>
        <v/>
      </c>
      <c r="U79" s="7">
        <f>IFERROR(N79/E79,"")</f>
        <v/>
      </c>
      <c r="V79" s="6">
        <f>IFERROR(INDEX('設定・凡例'!$H$20:$H$24,MATCH(D79,'設定・凡例'!$G$20:$G$24,0)),"")</f>
        <v/>
      </c>
      <c r="W79" s="26">
        <f>IF(E79="","",IF(ISNUMBER(V79),IF(E79&gt;=V79,"○","×"),"-"))</f>
        <v/>
      </c>
    </row>
    <row r="80">
      <c r="A80" s="25" t="n"/>
      <c r="B80" s="26">
        <f>IF(A80="","",TEXT(A80,"YYYY-MM"))</f>
        <v/>
      </c>
      <c r="C80" s="27" t="n"/>
      <c r="D80" s="27" t="n"/>
      <c r="E80" s="9" t="n"/>
      <c r="F80" s="9" t="n"/>
      <c r="G80" s="9" t="n"/>
      <c r="H80" s="28" t="n"/>
      <c r="I80" s="28" t="n"/>
      <c r="J80" s="9" t="n"/>
      <c r="K80" s="9" t="n"/>
      <c r="L80" s="9" t="n"/>
      <c r="M80" s="9" t="n"/>
      <c r="N80" s="9" t="n"/>
      <c r="O80" s="7">
        <f>IFERROR(F80/E80,"")</f>
        <v/>
      </c>
      <c r="P80" s="7">
        <f>IFERROR(G80/E80,"")</f>
        <v/>
      </c>
      <c r="Q80" s="7">
        <f>IFERROR(H80/I80,"")</f>
        <v/>
      </c>
      <c r="R80" s="7">
        <f>IFERROR(J80/E80,"")</f>
        <v/>
      </c>
      <c r="S80" s="7">
        <f>IFERROR(K80/E80,"")</f>
        <v/>
      </c>
      <c r="T80" s="7">
        <f>IFERROR(M80/E80,"")</f>
        <v/>
      </c>
      <c r="U80" s="7">
        <f>IFERROR(N80/E80,"")</f>
        <v/>
      </c>
      <c r="V80" s="6">
        <f>IFERROR(INDEX('設定・凡例'!$H$20:$H$24,MATCH(D80,'設定・凡例'!$G$20:$G$24,0)),"")</f>
        <v/>
      </c>
      <c r="W80" s="26">
        <f>IF(E80="","",IF(ISNUMBER(V80),IF(E80&gt;=V80,"○","×"),"-"))</f>
        <v/>
      </c>
    </row>
    <row r="81">
      <c r="A81" s="25" t="n"/>
      <c r="B81" s="26">
        <f>IF(A81="","",TEXT(A81,"YYYY-MM"))</f>
        <v/>
      </c>
      <c r="C81" s="27" t="n"/>
      <c r="D81" s="27" t="n"/>
      <c r="E81" s="9" t="n"/>
      <c r="F81" s="9" t="n"/>
      <c r="G81" s="9" t="n"/>
      <c r="H81" s="28" t="n"/>
      <c r="I81" s="28" t="n"/>
      <c r="J81" s="9" t="n"/>
      <c r="K81" s="9" t="n"/>
      <c r="L81" s="9" t="n"/>
      <c r="M81" s="9" t="n"/>
      <c r="N81" s="9" t="n"/>
      <c r="O81" s="7">
        <f>IFERROR(F81/E81,"")</f>
        <v/>
      </c>
      <c r="P81" s="7">
        <f>IFERROR(G81/E81,"")</f>
        <v/>
      </c>
      <c r="Q81" s="7">
        <f>IFERROR(H81/I81,"")</f>
        <v/>
      </c>
      <c r="R81" s="7">
        <f>IFERROR(J81/E81,"")</f>
        <v/>
      </c>
      <c r="S81" s="7">
        <f>IFERROR(K81/E81,"")</f>
        <v/>
      </c>
      <c r="T81" s="7">
        <f>IFERROR(M81/E81,"")</f>
        <v/>
      </c>
      <c r="U81" s="7">
        <f>IFERROR(N81/E81,"")</f>
        <v/>
      </c>
      <c r="V81" s="6">
        <f>IFERROR(INDEX('設定・凡例'!$H$20:$H$24,MATCH(D81,'設定・凡例'!$G$20:$G$24,0)),"")</f>
        <v/>
      </c>
      <c r="W81" s="26">
        <f>IF(E81="","",IF(ISNUMBER(V81),IF(E81&gt;=V81,"○","×"),"-"))</f>
        <v/>
      </c>
    </row>
    <row r="82">
      <c r="A82" s="25" t="n"/>
      <c r="B82" s="26">
        <f>IF(A82="","",TEXT(A82,"YYYY-MM"))</f>
        <v/>
      </c>
      <c r="C82" s="27" t="n"/>
      <c r="D82" s="27" t="n"/>
      <c r="E82" s="9" t="n"/>
      <c r="F82" s="9" t="n"/>
      <c r="G82" s="9" t="n"/>
      <c r="H82" s="28" t="n"/>
      <c r="I82" s="28" t="n"/>
      <c r="J82" s="9" t="n"/>
      <c r="K82" s="9" t="n"/>
      <c r="L82" s="9" t="n"/>
      <c r="M82" s="9" t="n"/>
      <c r="N82" s="9" t="n"/>
      <c r="O82" s="7">
        <f>IFERROR(F82/E82,"")</f>
        <v/>
      </c>
      <c r="P82" s="7">
        <f>IFERROR(G82/E82,"")</f>
        <v/>
      </c>
      <c r="Q82" s="7">
        <f>IFERROR(H82/I82,"")</f>
        <v/>
      </c>
      <c r="R82" s="7">
        <f>IFERROR(J82/E82,"")</f>
        <v/>
      </c>
      <c r="S82" s="7">
        <f>IFERROR(K82/E82,"")</f>
        <v/>
      </c>
      <c r="T82" s="7">
        <f>IFERROR(M82/E82,"")</f>
        <v/>
      </c>
      <c r="U82" s="7">
        <f>IFERROR(N82/E82,"")</f>
        <v/>
      </c>
      <c r="V82" s="6">
        <f>IFERROR(INDEX('設定・凡例'!$H$20:$H$24,MATCH(D82,'設定・凡例'!$G$20:$G$24,0)),"")</f>
        <v/>
      </c>
      <c r="W82" s="26">
        <f>IF(E82="","",IF(ISNUMBER(V82),IF(E82&gt;=V82,"○","×"),"-"))</f>
        <v/>
      </c>
    </row>
    <row r="83">
      <c r="A83" s="25" t="n"/>
      <c r="B83" s="26">
        <f>IF(A83="","",TEXT(A83,"YYYY-MM"))</f>
        <v/>
      </c>
      <c r="C83" s="27" t="n"/>
      <c r="D83" s="27" t="n"/>
      <c r="E83" s="9" t="n"/>
      <c r="F83" s="9" t="n"/>
      <c r="G83" s="9" t="n"/>
      <c r="H83" s="28" t="n"/>
      <c r="I83" s="28" t="n"/>
      <c r="J83" s="9" t="n"/>
      <c r="K83" s="9" t="n"/>
      <c r="L83" s="9" t="n"/>
      <c r="M83" s="9" t="n"/>
      <c r="N83" s="9" t="n"/>
      <c r="O83" s="7">
        <f>IFERROR(F83/E83,"")</f>
        <v/>
      </c>
      <c r="P83" s="7">
        <f>IFERROR(G83/E83,"")</f>
        <v/>
      </c>
      <c r="Q83" s="7">
        <f>IFERROR(H83/I83,"")</f>
        <v/>
      </c>
      <c r="R83" s="7">
        <f>IFERROR(J83/E83,"")</f>
        <v/>
      </c>
      <c r="S83" s="7">
        <f>IFERROR(K83/E83,"")</f>
        <v/>
      </c>
      <c r="T83" s="7">
        <f>IFERROR(M83/E83,"")</f>
        <v/>
      </c>
      <c r="U83" s="7">
        <f>IFERROR(N83/E83,"")</f>
        <v/>
      </c>
      <c r="V83" s="6">
        <f>IFERROR(INDEX('設定・凡例'!$H$20:$H$24,MATCH(D83,'設定・凡例'!$G$20:$G$24,0)),"")</f>
        <v/>
      </c>
      <c r="W83" s="26">
        <f>IF(E83="","",IF(ISNUMBER(V83),IF(E83&gt;=V83,"○","×"),"-"))</f>
        <v/>
      </c>
    </row>
    <row r="84">
      <c r="A84" s="25" t="n"/>
      <c r="B84" s="26">
        <f>IF(A84="","",TEXT(A84,"YYYY-MM"))</f>
        <v/>
      </c>
      <c r="C84" s="27" t="n"/>
      <c r="D84" s="27" t="n"/>
      <c r="E84" s="9" t="n"/>
      <c r="F84" s="9" t="n"/>
      <c r="G84" s="9" t="n"/>
      <c r="H84" s="28" t="n"/>
      <c r="I84" s="28" t="n"/>
      <c r="J84" s="9" t="n"/>
      <c r="K84" s="9" t="n"/>
      <c r="L84" s="9" t="n"/>
      <c r="M84" s="9" t="n"/>
      <c r="N84" s="9" t="n"/>
      <c r="O84" s="7">
        <f>IFERROR(F84/E84,"")</f>
        <v/>
      </c>
      <c r="P84" s="7">
        <f>IFERROR(G84/E84,"")</f>
        <v/>
      </c>
      <c r="Q84" s="7">
        <f>IFERROR(H84/I84,"")</f>
        <v/>
      </c>
      <c r="R84" s="7">
        <f>IFERROR(J84/E84,"")</f>
        <v/>
      </c>
      <c r="S84" s="7">
        <f>IFERROR(K84/E84,"")</f>
        <v/>
      </c>
      <c r="T84" s="7">
        <f>IFERROR(M84/E84,"")</f>
        <v/>
      </c>
      <c r="U84" s="7">
        <f>IFERROR(N84/E84,"")</f>
        <v/>
      </c>
      <c r="V84" s="6">
        <f>IFERROR(INDEX('設定・凡例'!$H$20:$H$24,MATCH(D84,'設定・凡例'!$G$20:$G$24,0)),"")</f>
        <v/>
      </c>
      <c r="W84" s="26">
        <f>IF(E84="","",IF(ISNUMBER(V84),IF(E84&gt;=V84,"○","×"),"-"))</f>
        <v/>
      </c>
    </row>
    <row r="85">
      <c r="A85" s="25" t="n"/>
      <c r="B85" s="26">
        <f>IF(A85="","",TEXT(A85,"YYYY-MM"))</f>
        <v/>
      </c>
      <c r="C85" s="27" t="n"/>
      <c r="D85" s="27" t="n"/>
      <c r="E85" s="9" t="n"/>
      <c r="F85" s="9" t="n"/>
      <c r="G85" s="9" t="n"/>
      <c r="H85" s="28" t="n"/>
      <c r="I85" s="28" t="n"/>
      <c r="J85" s="9" t="n"/>
      <c r="K85" s="9" t="n"/>
      <c r="L85" s="9" t="n"/>
      <c r="M85" s="9" t="n"/>
      <c r="N85" s="9" t="n"/>
      <c r="O85" s="7">
        <f>IFERROR(F85/E85,"")</f>
        <v/>
      </c>
      <c r="P85" s="7">
        <f>IFERROR(G85/E85,"")</f>
        <v/>
      </c>
      <c r="Q85" s="7">
        <f>IFERROR(H85/I85,"")</f>
        <v/>
      </c>
      <c r="R85" s="7">
        <f>IFERROR(J85/E85,"")</f>
        <v/>
      </c>
      <c r="S85" s="7">
        <f>IFERROR(K85/E85,"")</f>
        <v/>
      </c>
      <c r="T85" s="7">
        <f>IFERROR(M85/E85,"")</f>
        <v/>
      </c>
      <c r="U85" s="7">
        <f>IFERROR(N85/E85,"")</f>
        <v/>
      </c>
      <c r="V85" s="6">
        <f>IFERROR(INDEX('設定・凡例'!$H$20:$H$24,MATCH(D85,'設定・凡例'!$G$20:$G$24,0)),"")</f>
        <v/>
      </c>
      <c r="W85" s="26">
        <f>IF(E85="","",IF(ISNUMBER(V85),IF(E85&gt;=V85,"○","×"),"-"))</f>
        <v/>
      </c>
    </row>
    <row r="86">
      <c r="A86" s="25" t="n"/>
      <c r="B86" s="26">
        <f>IF(A86="","",TEXT(A86,"YYYY-MM"))</f>
        <v/>
      </c>
      <c r="C86" s="27" t="n"/>
      <c r="D86" s="27" t="n"/>
      <c r="E86" s="9" t="n"/>
      <c r="F86" s="9" t="n"/>
      <c r="G86" s="9" t="n"/>
      <c r="H86" s="28" t="n"/>
      <c r="I86" s="28" t="n"/>
      <c r="J86" s="9" t="n"/>
      <c r="K86" s="9" t="n"/>
      <c r="L86" s="9" t="n"/>
      <c r="M86" s="9" t="n"/>
      <c r="N86" s="9" t="n"/>
      <c r="O86" s="7">
        <f>IFERROR(F86/E86,"")</f>
        <v/>
      </c>
      <c r="P86" s="7">
        <f>IFERROR(G86/E86,"")</f>
        <v/>
      </c>
      <c r="Q86" s="7">
        <f>IFERROR(H86/I86,"")</f>
        <v/>
      </c>
      <c r="R86" s="7">
        <f>IFERROR(J86/E86,"")</f>
        <v/>
      </c>
      <c r="S86" s="7">
        <f>IFERROR(K86/E86,"")</f>
        <v/>
      </c>
      <c r="T86" s="7">
        <f>IFERROR(M86/E86,"")</f>
        <v/>
      </c>
      <c r="U86" s="7">
        <f>IFERROR(N86/E86,"")</f>
        <v/>
      </c>
      <c r="V86" s="6">
        <f>IFERROR(INDEX('設定・凡例'!$H$20:$H$24,MATCH(D86,'設定・凡例'!$G$20:$G$24,0)),"")</f>
        <v/>
      </c>
      <c r="W86" s="26">
        <f>IF(E86="","",IF(ISNUMBER(V86),IF(E86&gt;=V86,"○","×"),"-"))</f>
        <v/>
      </c>
    </row>
    <row r="87">
      <c r="A87" s="25" t="n"/>
      <c r="B87" s="26">
        <f>IF(A87="","",TEXT(A87,"YYYY-MM"))</f>
        <v/>
      </c>
      <c r="C87" s="27" t="n"/>
      <c r="D87" s="27" t="n"/>
      <c r="E87" s="9" t="n"/>
      <c r="F87" s="9" t="n"/>
      <c r="G87" s="9" t="n"/>
      <c r="H87" s="28" t="n"/>
      <c r="I87" s="28" t="n"/>
      <c r="J87" s="9" t="n"/>
      <c r="K87" s="9" t="n"/>
      <c r="L87" s="9" t="n"/>
      <c r="M87" s="9" t="n"/>
      <c r="N87" s="9" t="n"/>
      <c r="O87" s="7">
        <f>IFERROR(F87/E87,"")</f>
        <v/>
      </c>
      <c r="P87" s="7">
        <f>IFERROR(G87/E87,"")</f>
        <v/>
      </c>
      <c r="Q87" s="7">
        <f>IFERROR(H87/I87,"")</f>
        <v/>
      </c>
      <c r="R87" s="7">
        <f>IFERROR(J87/E87,"")</f>
        <v/>
      </c>
      <c r="S87" s="7">
        <f>IFERROR(K87/E87,"")</f>
        <v/>
      </c>
      <c r="T87" s="7">
        <f>IFERROR(M87/E87,"")</f>
        <v/>
      </c>
      <c r="U87" s="7">
        <f>IFERROR(N87/E87,"")</f>
        <v/>
      </c>
      <c r="V87" s="6">
        <f>IFERROR(INDEX('設定・凡例'!$H$20:$H$24,MATCH(D87,'設定・凡例'!$G$20:$G$24,0)),"")</f>
        <v/>
      </c>
      <c r="W87" s="26">
        <f>IF(E87="","",IF(ISNUMBER(V87),IF(E87&gt;=V87,"○","×"),"-"))</f>
        <v/>
      </c>
    </row>
    <row r="88">
      <c r="A88" s="25" t="n"/>
      <c r="B88" s="26">
        <f>IF(A88="","",TEXT(A88,"YYYY-MM"))</f>
        <v/>
      </c>
      <c r="C88" s="27" t="n"/>
      <c r="D88" s="27" t="n"/>
      <c r="E88" s="9" t="n"/>
      <c r="F88" s="9" t="n"/>
      <c r="G88" s="9" t="n"/>
      <c r="H88" s="28" t="n"/>
      <c r="I88" s="28" t="n"/>
      <c r="J88" s="9" t="n"/>
      <c r="K88" s="9" t="n"/>
      <c r="L88" s="9" t="n"/>
      <c r="M88" s="9" t="n"/>
      <c r="N88" s="9" t="n"/>
      <c r="O88" s="7">
        <f>IFERROR(F88/E88,"")</f>
        <v/>
      </c>
      <c r="P88" s="7">
        <f>IFERROR(G88/E88,"")</f>
        <v/>
      </c>
      <c r="Q88" s="7">
        <f>IFERROR(H88/I88,"")</f>
        <v/>
      </c>
      <c r="R88" s="7">
        <f>IFERROR(J88/E88,"")</f>
        <v/>
      </c>
      <c r="S88" s="7">
        <f>IFERROR(K88/E88,"")</f>
        <v/>
      </c>
      <c r="T88" s="7">
        <f>IFERROR(M88/E88,"")</f>
        <v/>
      </c>
      <c r="U88" s="7">
        <f>IFERROR(N88/E88,"")</f>
        <v/>
      </c>
      <c r="V88" s="6">
        <f>IFERROR(INDEX('設定・凡例'!$H$20:$H$24,MATCH(D88,'設定・凡例'!$G$20:$G$24,0)),"")</f>
        <v/>
      </c>
      <c r="W88" s="26">
        <f>IF(E88="","",IF(ISNUMBER(V88),IF(E88&gt;=V88,"○","×"),"-"))</f>
        <v/>
      </c>
    </row>
    <row r="89">
      <c r="A89" s="25" t="n"/>
      <c r="B89" s="26">
        <f>IF(A89="","",TEXT(A89,"YYYY-MM"))</f>
        <v/>
      </c>
      <c r="C89" s="27" t="n"/>
      <c r="D89" s="27" t="n"/>
      <c r="E89" s="9" t="n"/>
      <c r="F89" s="9" t="n"/>
      <c r="G89" s="9" t="n"/>
      <c r="H89" s="28" t="n"/>
      <c r="I89" s="28" t="n"/>
      <c r="J89" s="9" t="n"/>
      <c r="K89" s="9" t="n"/>
      <c r="L89" s="9" t="n"/>
      <c r="M89" s="9" t="n"/>
      <c r="N89" s="9" t="n"/>
      <c r="O89" s="7">
        <f>IFERROR(F89/E89,"")</f>
        <v/>
      </c>
      <c r="P89" s="7">
        <f>IFERROR(G89/E89,"")</f>
        <v/>
      </c>
      <c r="Q89" s="7">
        <f>IFERROR(H89/I89,"")</f>
        <v/>
      </c>
      <c r="R89" s="7">
        <f>IFERROR(J89/E89,"")</f>
        <v/>
      </c>
      <c r="S89" s="7">
        <f>IFERROR(K89/E89,"")</f>
        <v/>
      </c>
      <c r="T89" s="7">
        <f>IFERROR(M89/E89,"")</f>
        <v/>
      </c>
      <c r="U89" s="7">
        <f>IFERROR(N89/E89,"")</f>
        <v/>
      </c>
      <c r="V89" s="6">
        <f>IFERROR(INDEX('設定・凡例'!$H$20:$H$24,MATCH(D89,'設定・凡例'!$G$20:$G$24,0)),"")</f>
        <v/>
      </c>
      <c r="W89" s="26">
        <f>IF(E89="","",IF(ISNUMBER(V89),IF(E89&gt;=V89,"○","×"),"-"))</f>
        <v/>
      </c>
    </row>
    <row r="90">
      <c r="A90" s="25" t="n"/>
      <c r="B90" s="26">
        <f>IF(A90="","",TEXT(A90,"YYYY-MM"))</f>
        <v/>
      </c>
      <c r="C90" s="27" t="n"/>
      <c r="D90" s="27" t="n"/>
      <c r="E90" s="9" t="n"/>
      <c r="F90" s="9" t="n"/>
      <c r="G90" s="9" t="n"/>
      <c r="H90" s="28" t="n"/>
      <c r="I90" s="28" t="n"/>
      <c r="J90" s="9" t="n"/>
      <c r="K90" s="9" t="n"/>
      <c r="L90" s="9" t="n"/>
      <c r="M90" s="9" t="n"/>
      <c r="N90" s="9" t="n"/>
      <c r="O90" s="7">
        <f>IFERROR(F90/E90,"")</f>
        <v/>
      </c>
      <c r="P90" s="7">
        <f>IFERROR(G90/E90,"")</f>
        <v/>
      </c>
      <c r="Q90" s="7">
        <f>IFERROR(H90/I90,"")</f>
        <v/>
      </c>
      <c r="R90" s="7">
        <f>IFERROR(J90/E90,"")</f>
        <v/>
      </c>
      <c r="S90" s="7">
        <f>IFERROR(K90/E90,"")</f>
        <v/>
      </c>
      <c r="T90" s="7">
        <f>IFERROR(M90/E90,"")</f>
        <v/>
      </c>
      <c r="U90" s="7">
        <f>IFERROR(N90/E90,"")</f>
        <v/>
      </c>
      <c r="V90" s="6">
        <f>IFERROR(INDEX('設定・凡例'!$H$20:$H$24,MATCH(D90,'設定・凡例'!$G$20:$G$24,0)),"")</f>
        <v/>
      </c>
      <c r="W90" s="26">
        <f>IF(E90="","",IF(ISNUMBER(V90),IF(E90&gt;=V90,"○","×"),"-"))</f>
        <v/>
      </c>
    </row>
    <row r="91">
      <c r="A91" s="25" t="n"/>
      <c r="B91" s="26">
        <f>IF(A91="","",TEXT(A91,"YYYY-MM"))</f>
        <v/>
      </c>
      <c r="C91" s="27" t="n"/>
      <c r="D91" s="27" t="n"/>
      <c r="E91" s="9" t="n"/>
      <c r="F91" s="9" t="n"/>
      <c r="G91" s="9" t="n"/>
      <c r="H91" s="28" t="n"/>
      <c r="I91" s="28" t="n"/>
      <c r="J91" s="9" t="n"/>
      <c r="K91" s="9" t="n"/>
      <c r="L91" s="9" t="n"/>
      <c r="M91" s="9" t="n"/>
      <c r="N91" s="9" t="n"/>
      <c r="O91" s="7">
        <f>IFERROR(F91/E91,"")</f>
        <v/>
      </c>
      <c r="P91" s="7">
        <f>IFERROR(G91/E91,"")</f>
        <v/>
      </c>
      <c r="Q91" s="7">
        <f>IFERROR(H91/I91,"")</f>
        <v/>
      </c>
      <c r="R91" s="7">
        <f>IFERROR(J91/E91,"")</f>
        <v/>
      </c>
      <c r="S91" s="7">
        <f>IFERROR(K91/E91,"")</f>
        <v/>
      </c>
      <c r="T91" s="7">
        <f>IFERROR(M91/E91,"")</f>
        <v/>
      </c>
      <c r="U91" s="7">
        <f>IFERROR(N91/E91,"")</f>
        <v/>
      </c>
      <c r="V91" s="6">
        <f>IFERROR(INDEX('設定・凡例'!$H$20:$H$24,MATCH(D91,'設定・凡例'!$G$20:$G$24,0)),"")</f>
        <v/>
      </c>
      <c r="W91" s="26">
        <f>IF(E91="","",IF(ISNUMBER(V91),IF(E91&gt;=V91,"○","×"),"-"))</f>
        <v/>
      </c>
    </row>
    <row r="92">
      <c r="A92" s="25" t="n"/>
      <c r="B92" s="26">
        <f>IF(A92="","",TEXT(A92,"YYYY-MM"))</f>
        <v/>
      </c>
      <c r="C92" s="27" t="n"/>
      <c r="D92" s="27" t="n"/>
      <c r="E92" s="9" t="n"/>
      <c r="F92" s="9" t="n"/>
      <c r="G92" s="9" t="n"/>
      <c r="H92" s="28" t="n"/>
      <c r="I92" s="28" t="n"/>
      <c r="J92" s="9" t="n"/>
      <c r="K92" s="9" t="n"/>
      <c r="L92" s="9" t="n"/>
      <c r="M92" s="9" t="n"/>
      <c r="N92" s="9" t="n"/>
      <c r="O92" s="7">
        <f>IFERROR(F92/E92,"")</f>
        <v/>
      </c>
      <c r="P92" s="7">
        <f>IFERROR(G92/E92,"")</f>
        <v/>
      </c>
      <c r="Q92" s="7">
        <f>IFERROR(H92/I92,"")</f>
        <v/>
      </c>
      <c r="R92" s="7">
        <f>IFERROR(J92/E92,"")</f>
        <v/>
      </c>
      <c r="S92" s="7">
        <f>IFERROR(K92/E92,"")</f>
        <v/>
      </c>
      <c r="T92" s="7">
        <f>IFERROR(M92/E92,"")</f>
        <v/>
      </c>
      <c r="U92" s="7">
        <f>IFERROR(N92/E92,"")</f>
        <v/>
      </c>
      <c r="V92" s="6">
        <f>IFERROR(INDEX('設定・凡例'!$H$20:$H$24,MATCH(D92,'設定・凡例'!$G$20:$G$24,0)),"")</f>
        <v/>
      </c>
      <c r="W92" s="26">
        <f>IF(E92="","",IF(ISNUMBER(V92),IF(E92&gt;=V92,"○","×"),"-"))</f>
        <v/>
      </c>
    </row>
    <row r="93">
      <c r="A93" s="25" t="n"/>
      <c r="B93" s="26">
        <f>IF(A93="","",TEXT(A93,"YYYY-MM"))</f>
        <v/>
      </c>
      <c r="C93" s="27" t="n"/>
      <c r="D93" s="27" t="n"/>
      <c r="E93" s="9" t="n"/>
      <c r="F93" s="9" t="n"/>
      <c r="G93" s="9" t="n"/>
      <c r="H93" s="28" t="n"/>
      <c r="I93" s="28" t="n"/>
      <c r="J93" s="9" t="n"/>
      <c r="K93" s="9" t="n"/>
      <c r="L93" s="9" t="n"/>
      <c r="M93" s="9" t="n"/>
      <c r="N93" s="9" t="n"/>
      <c r="O93" s="7">
        <f>IFERROR(F93/E93,"")</f>
        <v/>
      </c>
      <c r="P93" s="7">
        <f>IFERROR(G93/E93,"")</f>
        <v/>
      </c>
      <c r="Q93" s="7">
        <f>IFERROR(H93/I93,"")</f>
        <v/>
      </c>
      <c r="R93" s="7">
        <f>IFERROR(J93/E93,"")</f>
        <v/>
      </c>
      <c r="S93" s="7">
        <f>IFERROR(K93/E93,"")</f>
        <v/>
      </c>
      <c r="T93" s="7">
        <f>IFERROR(M93/E93,"")</f>
        <v/>
      </c>
      <c r="U93" s="7">
        <f>IFERROR(N93/E93,"")</f>
        <v/>
      </c>
      <c r="V93" s="6">
        <f>IFERROR(INDEX('設定・凡例'!$H$20:$H$24,MATCH(D93,'設定・凡例'!$G$20:$G$24,0)),"")</f>
        <v/>
      </c>
      <c r="W93" s="26">
        <f>IF(E93="","",IF(ISNUMBER(V93),IF(E93&gt;=V93,"○","×"),"-"))</f>
        <v/>
      </c>
    </row>
    <row r="94">
      <c r="A94" s="25" t="n"/>
      <c r="B94" s="26">
        <f>IF(A94="","",TEXT(A94,"YYYY-MM"))</f>
        <v/>
      </c>
      <c r="C94" s="27" t="n"/>
      <c r="D94" s="27" t="n"/>
      <c r="E94" s="9" t="n"/>
      <c r="F94" s="9" t="n"/>
      <c r="G94" s="9" t="n"/>
      <c r="H94" s="28" t="n"/>
      <c r="I94" s="28" t="n"/>
      <c r="J94" s="9" t="n"/>
      <c r="K94" s="9" t="n"/>
      <c r="L94" s="9" t="n"/>
      <c r="M94" s="9" t="n"/>
      <c r="N94" s="9" t="n"/>
      <c r="O94" s="7">
        <f>IFERROR(F94/E94,"")</f>
        <v/>
      </c>
      <c r="P94" s="7">
        <f>IFERROR(G94/E94,"")</f>
        <v/>
      </c>
      <c r="Q94" s="7">
        <f>IFERROR(H94/I94,"")</f>
        <v/>
      </c>
      <c r="R94" s="7">
        <f>IFERROR(J94/E94,"")</f>
        <v/>
      </c>
      <c r="S94" s="7">
        <f>IFERROR(K94/E94,"")</f>
        <v/>
      </c>
      <c r="T94" s="7">
        <f>IFERROR(M94/E94,"")</f>
        <v/>
      </c>
      <c r="U94" s="7">
        <f>IFERROR(N94/E94,"")</f>
        <v/>
      </c>
      <c r="V94" s="6">
        <f>IFERROR(INDEX('設定・凡例'!$H$20:$H$24,MATCH(D94,'設定・凡例'!$G$20:$G$24,0)),"")</f>
        <v/>
      </c>
      <c r="W94" s="26">
        <f>IF(E94="","",IF(ISNUMBER(V94),IF(E94&gt;=V94,"○","×"),"-"))</f>
        <v/>
      </c>
    </row>
    <row r="95">
      <c r="A95" s="25" t="n"/>
      <c r="B95" s="26">
        <f>IF(A95="","",TEXT(A95,"YYYY-MM"))</f>
        <v/>
      </c>
      <c r="C95" s="27" t="n"/>
      <c r="D95" s="27" t="n"/>
      <c r="E95" s="9" t="n"/>
      <c r="F95" s="9" t="n"/>
      <c r="G95" s="9" t="n"/>
      <c r="H95" s="28" t="n"/>
      <c r="I95" s="28" t="n"/>
      <c r="J95" s="9" t="n"/>
      <c r="K95" s="9" t="n"/>
      <c r="L95" s="9" t="n"/>
      <c r="M95" s="9" t="n"/>
      <c r="N95" s="9" t="n"/>
      <c r="O95" s="7">
        <f>IFERROR(F95/E95,"")</f>
        <v/>
      </c>
      <c r="P95" s="7">
        <f>IFERROR(G95/E95,"")</f>
        <v/>
      </c>
      <c r="Q95" s="7">
        <f>IFERROR(H95/I95,"")</f>
        <v/>
      </c>
      <c r="R95" s="7">
        <f>IFERROR(J95/E95,"")</f>
        <v/>
      </c>
      <c r="S95" s="7">
        <f>IFERROR(K95/E95,"")</f>
        <v/>
      </c>
      <c r="T95" s="7">
        <f>IFERROR(M95/E95,"")</f>
        <v/>
      </c>
      <c r="U95" s="7">
        <f>IFERROR(N95/E95,"")</f>
        <v/>
      </c>
      <c r="V95" s="6">
        <f>IFERROR(INDEX('設定・凡例'!$H$20:$H$24,MATCH(D95,'設定・凡例'!$G$20:$G$24,0)),"")</f>
        <v/>
      </c>
      <c r="W95" s="26">
        <f>IF(E95="","",IF(ISNUMBER(V95),IF(E95&gt;=V95,"○","×"),"-"))</f>
        <v/>
      </c>
    </row>
    <row r="96">
      <c r="A96" s="25" t="n"/>
      <c r="B96" s="26">
        <f>IF(A96="","",TEXT(A96,"YYYY-MM"))</f>
        <v/>
      </c>
      <c r="C96" s="27" t="n"/>
      <c r="D96" s="27" t="n"/>
      <c r="E96" s="9" t="n"/>
      <c r="F96" s="9" t="n"/>
      <c r="G96" s="9" t="n"/>
      <c r="H96" s="28" t="n"/>
      <c r="I96" s="28" t="n"/>
      <c r="J96" s="9" t="n"/>
      <c r="K96" s="9" t="n"/>
      <c r="L96" s="9" t="n"/>
      <c r="M96" s="9" t="n"/>
      <c r="N96" s="9" t="n"/>
      <c r="O96" s="7">
        <f>IFERROR(F96/E96,"")</f>
        <v/>
      </c>
      <c r="P96" s="7">
        <f>IFERROR(G96/E96,"")</f>
        <v/>
      </c>
      <c r="Q96" s="7">
        <f>IFERROR(H96/I96,"")</f>
        <v/>
      </c>
      <c r="R96" s="7">
        <f>IFERROR(J96/E96,"")</f>
        <v/>
      </c>
      <c r="S96" s="7">
        <f>IFERROR(K96/E96,"")</f>
        <v/>
      </c>
      <c r="T96" s="7">
        <f>IFERROR(M96/E96,"")</f>
        <v/>
      </c>
      <c r="U96" s="7">
        <f>IFERROR(N96/E96,"")</f>
        <v/>
      </c>
      <c r="V96" s="6">
        <f>IFERROR(INDEX('設定・凡例'!$H$20:$H$24,MATCH(D96,'設定・凡例'!$G$20:$G$24,0)),"")</f>
        <v/>
      </c>
      <c r="W96" s="26">
        <f>IF(E96="","",IF(ISNUMBER(V96),IF(E96&gt;=V96,"○","×"),"-"))</f>
        <v/>
      </c>
    </row>
    <row r="97">
      <c r="A97" s="25" t="n"/>
      <c r="B97" s="26">
        <f>IF(A97="","",TEXT(A97,"YYYY-MM"))</f>
        <v/>
      </c>
      <c r="C97" s="27" t="n"/>
      <c r="D97" s="27" t="n"/>
      <c r="E97" s="9" t="n"/>
      <c r="F97" s="9" t="n"/>
      <c r="G97" s="9" t="n"/>
      <c r="H97" s="28" t="n"/>
      <c r="I97" s="28" t="n"/>
      <c r="J97" s="9" t="n"/>
      <c r="K97" s="9" t="n"/>
      <c r="L97" s="9" t="n"/>
      <c r="M97" s="9" t="n"/>
      <c r="N97" s="9" t="n"/>
      <c r="O97" s="7">
        <f>IFERROR(F97/E97,"")</f>
        <v/>
      </c>
      <c r="P97" s="7">
        <f>IFERROR(G97/E97,"")</f>
        <v/>
      </c>
      <c r="Q97" s="7">
        <f>IFERROR(H97/I97,"")</f>
        <v/>
      </c>
      <c r="R97" s="7">
        <f>IFERROR(J97/E97,"")</f>
        <v/>
      </c>
      <c r="S97" s="7">
        <f>IFERROR(K97/E97,"")</f>
        <v/>
      </c>
      <c r="T97" s="7">
        <f>IFERROR(M97/E97,"")</f>
        <v/>
      </c>
      <c r="U97" s="7">
        <f>IFERROR(N97/E97,"")</f>
        <v/>
      </c>
      <c r="V97" s="6">
        <f>IFERROR(INDEX('設定・凡例'!$H$20:$H$24,MATCH(D97,'設定・凡例'!$G$20:$G$24,0)),"")</f>
        <v/>
      </c>
      <c r="W97" s="26">
        <f>IF(E97="","",IF(ISNUMBER(V97),IF(E97&gt;=V97,"○","×"),"-"))</f>
        <v/>
      </c>
    </row>
    <row r="98">
      <c r="A98" s="25" t="n"/>
      <c r="B98" s="26">
        <f>IF(A98="","",TEXT(A98,"YYYY-MM"))</f>
        <v/>
      </c>
      <c r="C98" s="27" t="n"/>
      <c r="D98" s="27" t="n"/>
      <c r="E98" s="9" t="n"/>
      <c r="F98" s="9" t="n"/>
      <c r="G98" s="9" t="n"/>
      <c r="H98" s="28" t="n"/>
      <c r="I98" s="28" t="n"/>
      <c r="J98" s="9" t="n"/>
      <c r="K98" s="9" t="n"/>
      <c r="L98" s="9" t="n"/>
      <c r="M98" s="9" t="n"/>
      <c r="N98" s="9" t="n"/>
      <c r="O98" s="7">
        <f>IFERROR(F98/E98,"")</f>
        <v/>
      </c>
      <c r="P98" s="7">
        <f>IFERROR(G98/E98,"")</f>
        <v/>
      </c>
      <c r="Q98" s="7">
        <f>IFERROR(H98/I98,"")</f>
        <v/>
      </c>
      <c r="R98" s="7">
        <f>IFERROR(J98/E98,"")</f>
        <v/>
      </c>
      <c r="S98" s="7">
        <f>IFERROR(K98/E98,"")</f>
        <v/>
      </c>
      <c r="T98" s="7">
        <f>IFERROR(M98/E98,"")</f>
        <v/>
      </c>
      <c r="U98" s="7">
        <f>IFERROR(N98/E98,"")</f>
        <v/>
      </c>
      <c r="V98" s="6">
        <f>IFERROR(INDEX('設定・凡例'!$H$20:$H$24,MATCH(D98,'設定・凡例'!$G$20:$G$24,0)),"")</f>
        <v/>
      </c>
      <c r="W98" s="26">
        <f>IF(E98="","",IF(ISNUMBER(V98),IF(E98&gt;=V98,"○","×"),"-"))</f>
        <v/>
      </c>
    </row>
    <row r="99">
      <c r="A99" s="25" t="n"/>
      <c r="B99" s="26">
        <f>IF(A99="","",TEXT(A99,"YYYY-MM"))</f>
        <v/>
      </c>
      <c r="C99" s="27" t="n"/>
      <c r="D99" s="27" t="n"/>
      <c r="E99" s="9" t="n"/>
      <c r="F99" s="9" t="n"/>
      <c r="G99" s="9" t="n"/>
      <c r="H99" s="28" t="n"/>
      <c r="I99" s="28" t="n"/>
      <c r="J99" s="9" t="n"/>
      <c r="K99" s="9" t="n"/>
      <c r="L99" s="9" t="n"/>
      <c r="M99" s="9" t="n"/>
      <c r="N99" s="9" t="n"/>
      <c r="O99" s="7">
        <f>IFERROR(F99/E99,"")</f>
        <v/>
      </c>
      <c r="P99" s="7">
        <f>IFERROR(G99/E99,"")</f>
        <v/>
      </c>
      <c r="Q99" s="7">
        <f>IFERROR(H99/I99,"")</f>
        <v/>
      </c>
      <c r="R99" s="7">
        <f>IFERROR(J99/E99,"")</f>
        <v/>
      </c>
      <c r="S99" s="7">
        <f>IFERROR(K99/E99,"")</f>
        <v/>
      </c>
      <c r="T99" s="7">
        <f>IFERROR(M99/E99,"")</f>
        <v/>
      </c>
      <c r="U99" s="7">
        <f>IFERROR(N99/E99,"")</f>
        <v/>
      </c>
      <c r="V99" s="6">
        <f>IFERROR(INDEX('設定・凡例'!$H$20:$H$24,MATCH(D99,'設定・凡例'!$G$20:$G$24,0)),"")</f>
        <v/>
      </c>
      <c r="W99" s="26">
        <f>IF(E99="","",IF(ISNUMBER(V99),IF(E99&gt;=V99,"○","×"),"-"))</f>
        <v/>
      </c>
    </row>
    <row r="100">
      <c r="A100" s="25" t="n"/>
      <c r="B100" s="26">
        <f>IF(A100="","",TEXT(A100,"YYYY-MM"))</f>
        <v/>
      </c>
      <c r="C100" s="27" t="n"/>
      <c r="D100" s="27" t="n"/>
      <c r="E100" s="9" t="n"/>
      <c r="F100" s="9" t="n"/>
      <c r="G100" s="9" t="n"/>
      <c r="H100" s="28" t="n"/>
      <c r="I100" s="28" t="n"/>
      <c r="J100" s="9" t="n"/>
      <c r="K100" s="9" t="n"/>
      <c r="L100" s="9" t="n"/>
      <c r="M100" s="9" t="n"/>
      <c r="N100" s="9" t="n"/>
      <c r="O100" s="7">
        <f>IFERROR(F100/E100,"")</f>
        <v/>
      </c>
      <c r="P100" s="7">
        <f>IFERROR(G100/E100,"")</f>
        <v/>
      </c>
      <c r="Q100" s="7">
        <f>IFERROR(H100/I100,"")</f>
        <v/>
      </c>
      <c r="R100" s="7">
        <f>IFERROR(J100/E100,"")</f>
        <v/>
      </c>
      <c r="S100" s="7">
        <f>IFERROR(K100/E100,"")</f>
        <v/>
      </c>
      <c r="T100" s="7">
        <f>IFERROR(M100/E100,"")</f>
        <v/>
      </c>
      <c r="U100" s="7">
        <f>IFERROR(N100/E100,"")</f>
        <v/>
      </c>
      <c r="V100" s="6">
        <f>IFERROR(INDEX('設定・凡例'!$H$20:$H$24,MATCH(D100,'設定・凡例'!$G$20:$G$24,0)),"")</f>
        <v/>
      </c>
      <c r="W100" s="26">
        <f>IF(E100="","",IF(ISNUMBER(V100),IF(E100&gt;=V100,"○","×"),"-"))</f>
        <v/>
      </c>
    </row>
    <row r="101">
      <c r="A101" s="25" t="n"/>
      <c r="B101" s="26">
        <f>IF(A101="","",TEXT(A101,"YYYY-MM"))</f>
        <v/>
      </c>
      <c r="C101" s="27" t="n"/>
      <c r="D101" s="27" t="n"/>
      <c r="E101" s="9" t="n"/>
      <c r="F101" s="9" t="n"/>
      <c r="G101" s="9" t="n"/>
      <c r="H101" s="28" t="n"/>
      <c r="I101" s="28" t="n"/>
      <c r="J101" s="9" t="n"/>
      <c r="K101" s="9" t="n"/>
      <c r="L101" s="9" t="n"/>
      <c r="M101" s="9" t="n"/>
      <c r="N101" s="9" t="n"/>
      <c r="O101" s="7">
        <f>IFERROR(F101/E101,"")</f>
        <v/>
      </c>
      <c r="P101" s="7">
        <f>IFERROR(G101/E101,"")</f>
        <v/>
      </c>
      <c r="Q101" s="7">
        <f>IFERROR(H101/I101,"")</f>
        <v/>
      </c>
      <c r="R101" s="7">
        <f>IFERROR(J101/E101,"")</f>
        <v/>
      </c>
      <c r="S101" s="7">
        <f>IFERROR(K101/E101,"")</f>
        <v/>
      </c>
      <c r="T101" s="7">
        <f>IFERROR(M101/E101,"")</f>
        <v/>
      </c>
      <c r="U101" s="7">
        <f>IFERROR(N101/E101,"")</f>
        <v/>
      </c>
      <c r="V101" s="6">
        <f>IFERROR(INDEX('設定・凡例'!$H$20:$H$24,MATCH(D101,'設定・凡例'!$G$20:$G$24,0)),"")</f>
        <v/>
      </c>
      <c r="W101" s="26">
        <f>IF(E101="","",IF(ISNUMBER(V101),IF(E101&gt;=V101,"○","×"),"-"))</f>
        <v/>
      </c>
    </row>
    <row r="102">
      <c r="A102" s="25" t="n"/>
      <c r="B102" s="26">
        <f>IF(A102="","",TEXT(A102,"YYYY-MM"))</f>
        <v/>
      </c>
      <c r="C102" s="27" t="n"/>
      <c r="D102" s="27" t="n"/>
      <c r="E102" s="9" t="n"/>
      <c r="F102" s="9" t="n"/>
      <c r="G102" s="9" t="n"/>
      <c r="H102" s="28" t="n"/>
      <c r="I102" s="28" t="n"/>
      <c r="J102" s="9" t="n"/>
      <c r="K102" s="9" t="n"/>
      <c r="L102" s="9" t="n"/>
      <c r="M102" s="9" t="n"/>
      <c r="N102" s="9" t="n"/>
      <c r="O102" s="7">
        <f>IFERROR(F102/E102,"")</f>
        <v/>
      </c>
      <c r="P102" s="7">
        <f>IFERROR(G102/E102,"")</f>
        <v/>
      </c>
      <c r="Q102" s="7">
        <f>IFERROR(H102/I102,"")</f>
        <v/>
      </c>
      <c r="R102" s="7">
        <f>IFERROR(J102/E102,"")</f>
        <v/>
      </c>
      <c r="S102" s="7">
        <f>IFERROR(K102/E102,"")</f>
        <v/>
      </c>
      <c r="T102" s="7">
        <f>IFERROR(M102/E102,"")</f>
        <v/>
      </c>
      <c r="U102" s="7">
        <f>IFERROR(N102/E102,"")</f>
        <v/>
      </c>
      <c r="V102" s="6">
        <f>IFERROR(INDEX('設定・凡例'!$H$20:$H$24,MATCH(D102,'設定・凡例'!$G$20:$G$24,0)),"")</f>
        <v/>
      </c>
      <c r="W102" s="26">
        <f>IF(E102="","",IF(ISNUMBER(V102),IF(E102&gt;=V102,"○","×"),"-"))</f>
        <v/>
      </c>
    </row>
    <row r="103">
      <c r="A103" s="25" t="n"/>
      <c r="B103" s="26">
        <f>IF(A103="","",TEXT(A103,"YYYY-MM"))</f>
        <v/>
      </c>
      <c r="C103" s="27" t="n"/>
      <c r="D103" s="27" t="n"/>
      <c r="E103" s="9" t="n"/>
      <c r="F103" s="9" t="n"/>
      <c r="G103" s="9" t="n"/>
      <c r="H103" s="28" t="n"/>
      <c r="I103" s="28" t="n"/>
      <c r="J103" s="9" t="n"/>
      <c r="K103" s="9" t="n"/>
      <c r="L103" s="9" t="n"/>
      <c r="M103" s="9" t="n"/>
      <c r="N103" s="9" t="n"/>
      <c r="O103" s="7">
        <f>IFERROR(F103/E103,"")</f>
        <v/>
      </c>
      <c r="P103" s="7">
        <f>IFERROR(G103/E103,"")</f>
        <v/>
      </c>
      <c r="Q103" s="7">
        <f>IFERROR(H103/I103,"")</f>
        <v/>
      </c>
      <c r="R103" s="7">
        <f>IFERROR(J103/E103,"")</f>
        <v/>
      </c>
      <c r="S103" s="7">
        <f>IFERROR(K103/E103,"")</f>
        <v/>
      </c>
      <c r="T103" s="7">
        <f>IFERROR(M103/E103,"")</f>
        <v/>
      </c>
      <c r="U103" s="7">
        <f>IFERROR(N103/E103,"")</f>
        <v/>
      </c>
      <c r="V103" s="6">
        <f>IFERROR(INDEX('設定・凡例'!$H$20:$H$24,MATCH(D103,'設定・凡例'!$G$20:$G$24,0)),"")</f>
        <v/>
      </c>
      <c r="W103" s="26">
        <f>IF(E103="","",IF(ISNUMBER(V103),IF(E103&gt;=V103,"○","×"),"-"))</f>
        <v/>
      </c>
    </row>
    <row r="104">
      <c r="A104" s="25" t="n"/>
      <c r="B104" s="26">
        <f>IF(A104="","",TEXT(A104,"YYYY-MM"))</f>
        <v/>
      </c>
      <c r="C104" s="27" t="n"/>
      <c r="D104" s="27" t="n"/>
      <c r="E104" s="9" t="n"/>
      <c r="F104" s="9" t="n"/>
      <c r="G104" s="9" t="n"/>
      <c r="H104" s="28" t="n"/>
      <c r="I104" s="28" t="n"/>
      <c r="J104" s="9" t="n"/>
      <c r="K104" s="9" t="n"/>
      <c r="L104" s="9" t="n"/>
      <c r="M104" s="9" t="n"/>
      <c r="N104" s="9" t="n"/>
      <c r="O104" s="7">
        <f>IFERROR(F104/E104,"")</f>
        <v/>
      </c>
      <c r="P104" s="7">
        <f>IFERROR(G104/E104,"")</f>
        <v/>
      </c>
      <c r="Q104" s="7">
        <f>IFERROR(H104/I104,"")</f>
        <v/>
      </c>
      <c r="R104" s="7">
        <f>IFERROR(J104/E104,"")</f>
        <v/>
      </c>
      <c r="S104" s="7">
        <f>IFERROR(K104/E104,"")</f>
        <v/>
      </c>
      <c r="T104" s="7">
        <f>IFERROR(M104/E104,"")</f>
        <v/>
      </c>
      <c r="U104" s="7">
        <f>IFERROR(N104/E104,"")</f>
        <v/>
      </c>
      <c r="V104" s="6">
        <f>IFERROR(INDEX('設定・凡例'!$H$20:$H$24,MATCH(D104,'設定・凡例'!$G$20:$G$24,0)),"")</f>
        <v/>
      </c>
      <c r="W104" s="26">
        <f>IF(E104="","",IF(ISNUMBER(V104),IF(E104&gt;=V104,"○","×"),"-"))</f>
        <v/>
      </c>
    </row>
    <row r="105">
      <c r="A105" s="25" t="n"/>
      <c r="B105" s="26">
        <f>IF(A105="","",TEXT(A105,"YYYY-MM"))</f>
        <v/>
      </c>
      <c r="C105" s="27" t="n"/>
      <c r="D105" s="27" t="n"/>
      <c r="E105" s="9" t="n"/>
      <c r="F105" s="9" t="n"/>
      <c r="G105" s="9" t="n"/>
      <c r="H105" s="28" t="n"/>
      <c r="I105" s="28" t="n"/>
      <c r="J105" s="9" t="n"/>
      <c r="K105" s="9" t="n"/>
      <c r="L105" s="9" t="n"/>
      <c r="M105" s="9" t="n"/>
      <c r="N105" s="9" t="n"/>
      <c r="O105" s="7">
        <f>IFERROR(F105/E105,"")</f>
        <v/>
      </c>
      <c r="P105" s="7">
        <f>IFERROR(G105/E105,"")</f>
        <v/>
      </c>
      <c r="Q105" s="7">
        <f>IFERROR(H105/I105,"")</f>
        <v/>
      </c>
      <c r="R105" s="7">
        <f>IFERROR(J105/E105,"")</f>
        <v/>
      </c>
      <c r="S105" s="7">
        <f>IFERROR(K105/E105,"")</f>
        <v/>
      </c>
      <c r="T105" s="7">
        <f>IFERROR(M105/E105,"")</f>
        <v/>
      </c>
      <c r="U105" s="7">
        <f>IFERROR(N105/E105,"")</f>
        <v/>
      </c>
      <c r="V105" s="6">
        <f>IFERROR(INDEX('設定・凡例'!$H$20:$H$24,MATCH(D105,'設定・凡例'!$G$20:$G$24,0)),"")</f>
        <v/>
      </c>
      <c r="W105" s="26">
        <f>IF(E105="","",IF(ISNUMBER(V105),IF(E105&gt;=V105,"○","×"),"-"))</f>
        <v/>
      </c>
    </row>
    <row r="106">
      <c r="A106" s="25" t="n"/>
      <c r="B106" s="26">
        <f>IF(A106="","",TEXT(A106,"YYYY-MM"))</f>
        <v/>
      </c>
      <c r="C106" s="27" t="n"/>
      <c r="D106" s="27" t="n"/>
      <c r="E106" s="9" t="n"/>
      <c r="F106" s="9" t="n"/>
      <c r="G106" s="9" t="n"/>
      <c r="H106" s="28" t="n"/>
      <c r="I106" s="28" t="n"/>
      <c r="J106" s="9" t="n"/>
      <c r="K106" s="9" t="n"/>
      <c r="L106" s="9" t="n"/>
      <c r="M106" s="9" t="n"/>
      <c r="N106" s="9" t="n"/>
      <c r="O106" s="7">
        <f>IFERROR(F106/E106,"")</f>
        <v/>
      </c>
      <c r="P106" s="7">
        <f>IFERROR(G106/E106,"")</f>
        <v/>
      </c>
      <c r="Q106" s="7">
        <f>IFERROR(H106/I106,"")</f>
        <v/>
      </c>
      <c r="R106" s="7">
        <f>IFERROR(J106/E106,"")</f>
        <v/>
      </c>
      <c r="S106" s="7">
        <f>IFERROR(K106/E106,"")</f>
        <v/>
      </c>
      <c r="T106" s="7">
        <f>IFERROR(M106/E106,"")</f>
        <v/>
      </c>
      <c r="U106" s="7">
        <f>IFERROR(N106/E106,"")</f>
        <v/>
      </c>
      <c r="V106" s="6">
        <f>IFERROR(INDEX('設定・凡例'!$H$20:$H$24,MATCH(D106,'設定・凡例'!$G$20:$G$24,0)),"")</f>
        <v/>
      </c>
      <c r="W106" s="26">
        <f>IF(E106="","",IF(ISNUMBER(V106),IF(E106&gt;=V106,"○","×"),"-"))</f>
        <v/>
      </c>
    </row>
    <row r="107">
      <c r="A107" s="25" t="n"/>
      <c r="B107" s="26">
        <f>IF(A107="","",TEXT(A107,"YYYY-MM"))</f>
        <v/>
      </c>
      <c r="C107" s="27" t="n"/>
      <c r="D107" s="27" t="n"/>
      <c r="E107" s="9" t="n"/>
      <c r="F107" s="9" t="n"/>
      <c r="G107" s="9" t="n"/>
      <c r="H107" s="28" t="n"/>
      <c r="I107" s="28" t="n"/>
      <c r="J107" s="9" t="n"/>
      <c r="K107" s="9" t="n"/>
      <c r="L107" s="9" t="n"/>
      <c r="M107" s="9" t="n"/>
      <c r="N107" s="9" t="n"/>
      <c r="O107" s="7">
        <f>IFERROR(F107/E107,"")</f>
        <v/>
      </c>
      <c r="P107" s="7">
        <f>IFERROR(G107/E107,"")</f>
        <v/>
      </c>
      <c r="Q107" s="7">
        <f>IFERROR(H107/I107,"")</f>
        <v/>
      </c>
      <c r="R107" s="7">
        <f>IFERROR(J107/E107,"")</f>
        <v/>
      </c>
      <c r="S107" s="7">
        <f>IFERROR(K107/E107,"")</f>
        <v/>
      </c>
      <c r="T107" s="7">
        <f>IFERROR(M107/E107,"")</f>
        <v/>
      </c>
      <c r="U107" s="7">
        <f>IFERROR(N107/E107,"")</f>
        <v/>
      </c>
      <c r="V107" s="6">
        <f>IFERROR(INDEX('設定・凡例'!$H$20:$H$24,MATCH(D107,'設定・凡例'!$G$20:$G$24,0)),"")</f>
        <v/>
      </c>
      <c r="W107" s="26">
        <f>IF(E107="","",IF(ISNUMBER(V107),IF(E107&gt;=V107,"○","×"),"-"))</f>
        <v/>
      </c>
    </row>
    <row r="108">
      <c r="A108" s="25" t="n"/>
      <c r="B108" s="26">
        <f>IF(A108="","",TEXT(A108,"YYYY-MM"))</f>
        <v/>
      </c>
      <c r="C108" s="27" t="n"/>
      <c r="D108" s="27" t="n"/>
      <c r="E108" s="9" t="n"/>
      <c r="F108" s="9" t="n"/>
      <c r="G108" s="9" t="n"/>
      <c r="H108" s="28" t="n"/>
      <c r="I108" s="28" t="n"/>
      <c r="J108" s="9" t="n"/>
      <c r="K108" s="9" t="n"/>
      <c r="L108" s="9" t="n"/>
      <c r="M108" s="9" t="n"/>
      <c r="N108" s="9" t="n"/>
      <c r="O108" s="7">
        <f>IFERROR(F108/E108,"")</f>
        <v/>
      </c>
      <c r="P108" s="7">
        <f>IFERROR(G108/E108,"")</f>
        <v/>
      </c>
      <c r="Q108" s="7">
        <f>IFERROR(H108/I108,"")</f>
        <v/>
      </c>
      <c r="R108" s="7">
        <f>IFERROR(J108/E108,"")</f>
        <v/>
      </c>
      <c r="S108" s="7">
        <f>IFERROR(K108/E108,"")</f>
        <v/>
      </c>
      <c r="T108" s="7">
        <f>IFERROR(M108/E108,"")</f>
        <v/>
      </c>
      <c r="U108" s="7">
        <f>IFERROR(N108/E108,"")</f>
        <v/>
      </c>
      <c r="V108" s="6">
        <f>IFERROR(INDEX('設定・凡例'!$H$20:$H$24,MATCH(D108,'設定・凡例'!$G$20:$G$24,0)),"")</f>
        <v/>
      </c>
      <c r="W108" s="26">
        <f>IF(E108="","",IF(ISNUMBER(V108),IF(E108&gt;=V108,"○","×"),"-"))</f>
        <v/>
      </c>
    </row>
    <row r="109">
      <c r="A109" s="25" t="n"/>
      <c r="B109" s="26">
        <f>IF(A109="","",TEXT(A109,"YYYY-MM"))</f>
        <v/>
      </c>
      <c r="C109" s="27" t="n"/>
      <c r="D109" s="27" t="n"/>
      <c r="E109" s="9" t="n"/>
      <c r="F109" s="9" t="n"/>
      <c r="G109" s="9" t="n"/>
      <c r="H109" s="28" t="n"/>
      <c r="I109" s="28" t="n"/>
      <c r="J109" s="9" t="n"/>
      <c r="K109" s="9" t="n"/>
      <c r="L109" s="9" t="n"/>
      <c r="M109" s="9" t="n"/>
      <c r="N109" s="9" t="n"/>
      <c r="O109" s="7">
        <f>IFERROR(F109/E109,"")</f>
        <v/>
      </c>
      <c r="P109" s="7">
        <f>IFERROR(G109/E109,"")</f>
        <v/>
      </c>
      <c r="Q109" s="7">
        <f>IFERROR(H109/I109,"")</f>
        <v/>
      </c>
      <c r="R109" s="7">
        <f>IFERROR(J109/E109,"")</f>
        <v/>
      </c>
      <c r="S109" s="7">
        <f>IFERROR(K109/E109,"")</f>
        <v/>
      </c>
      <c r="T109" s="7">
        <f>IFERROR(M109/E109,"")</f>
        <v/>
      </c>
      <c r="U109" s="7">
        <f>IFERROR(N109/E109,"")</f>
        <v/>
      </c>
      <c r="V109" s="6">
        <f>IFERROR(INDEX('設定・凡例'!$H$20:$H$24,MATCH(D109,'設定・凡例'!$G$20:$G$24,0)),"")</f>
        <v/>
      </c>
      <c r="W109" s="26">
        <f>IF(E109="","",IF(ISNUMBER(V109),IF(E109&gt;=V109,"○","×"),"-"))</f>
        <v/>
      </c>
    </row>
    <row r="110">
      <c r="A110" s="25" t="n"/>
      <c r="B110" s="26">
        <f>IF(A110="","",TEXT(A110,"YYYY-MM"))</f>
        <v/>
      </c>
      <c r="C110" s="27" t="n"/>
      <c r="D110" s="27" t="n"/>
      <c r="E110" s="9" t="n"/>
      <c r="F110" s="9" t="n"/>
      <c r="G110" s="9" t="n"/>
      <c r="H110" s="28" t="n"/>
      <c r="I110" s="28" t="n"/>
      <c r="J110" s="9" t="n"/>
      <c r="K110" s="9" t="n"/>
      <c r="L110" s="9" t="n"/>
      <c r="M110" s="9" t="n"/>
      <c r="N110" s="9" t="n"/>
      <c r="O110" s="7">
        <f>IFERROR(F110/E110,"")</f>
        <v/>
      </c>
      <c r="P110" s="7">
        <f>IFERROR(G110/E110,"")</f>
        <v/>
      </c>
      <c r="Q110" s="7">
        <f>IFERROR(H110/I110,"")</f>
        <v/>
      </c>
      <c r="R110" s="7">
        <f>IFERROR(J110/E110,"")</f>
        <v/>
      </c>
      <c r="S110" s="7">
        <f>IFERROR(K110/E110,"")</f>
        <v/>
      </c>
      <c r="T110" s="7">
        <f>IFERROR(M110/E110,"")</f>
        <v/>
      </c>
      <c r="U110" s="7">
        <f>IFERROR(N110/E110,"")</f>
        <v/>
      </c>
      <c r="V110" s="6">
        <f>IFERROR(INDEX('設定・凡例'!$H$20:$H$24,MATCH(D110,'設定・凡例'!$G$20:$G$24,0)),"")</f>
        <v/>
      </c>
      <c r="W110" s="26">
        <f>IF(E110="","",IF(ISNUMBER(V110),IF(E110&gt;=V110,"○","×"),"-"))</f>
        <v/>
      </c>
    </row>
    <row r="111">
      <c r="A111" s="25" t="n"/>
      <c r="B111" s="26">
        <f>IF(A111="","",TEXT(A111,"YYYY-MM"))</f>
        <v/>
      </c>
      <c r="C111" s="27" t="n"/>
      <c r="D111" s="27" t="n"/>
      <c r="E111" s="9" t="n"/>
      <c r="F111" s="9" t="n"/>
      <c r="G111" s="9" t="n"/>
      <c r="H111" s="28" t="n"/>
      <c r="I111" s="28" t="n"/>
      <c r="J111" s="9" t="n"/>
      <c r="K111" s="9" t="n"/>
      <c r="L111" s="9" t="n"/>
      <c r="M111" s="9" t="n"/>
      <c r="N111" s="9" t="n"/>
      <c r="O111" s="7">
        <f>IFERROR(F111/E111,"")</f>
        <v/>
      </c>
      <c r="P111" s="7">
        <f>IFERROR(G111/E111,"")</f>
        <v/>
      </c>
      <c r="Q111" s="7">
        <f>IFERROR(H111/I111,"")</f>
        <v/>
      </c>
      <c r="R111" s="7">
        <f>IFERROR(J111/E111,"")</f>
        <v/>
      </c>
      <c r="S111" s="7">
        <f>IFERROR(K111/E111,"")</f>
        <v/>
      </c>
      <c r="T111" s="7">
        <f>IFERROR(M111/E111,"")</f>
        <v/>
      </c>
      <c r="U111" s="7">
        <f>IFERROR(N111/E111,"")</f>
        <v/>
      </c>
      <c r="V111" s="6">
        <f>IFERROR(INDEX('設定・凡例'!$H$20:$H$24,MATCH(D111,'設定・凡例'!$G$20:$G$24,0)),"")</f>
        <v/>
      </c>
      <c r="W111" s="26">
        <f>IF(E111="","",IF(ISNUMBER(V111),IF(E111&gt;=V111,"○","×"),"-"))</f>
        <v/>
      </c>
    </row>
    <row r="112">
      <c r="A112" s="25" t="n"/>
      <c r="B112" s="26">
        <f>IF(A112="","",TEXT(A112,"YYYY-MM"))</f>
        <v/>
      </c>
      <c r="C112" s="27" t="n"/>
      <c r="D112" s="27" t="n"/>
      <c r="E112" s="9" t="n"/>
      <c r="F112" s="9" t="n"/>
      <c r="G112" s="9" t="n"/>
      <c r="H112" s="28" t="n"/>
      <c r="I112" s="28" t="n"/>
      <c r="J112" s="9" t="n"/>
      <c r="K112" s="9" t="n"/>
      <c r="L112" s="9" t="n"/>
      <c r="M112" s="9" t="n"/>
      <c r="N112" s="9" t="n"/>
      <c r="O112" s="7">
        <f>IFERROR(F112/E112,"")</f>
        <v/>
      </c>
      <c r="P112" s="7">
        <f>IFERROR(G112/E112,"")</f>
        <v/>
      </c>
      <c r="Q112" s="7">
        <f>IFERROR(H112/I112,"")</f>
        <v/>
      </c>
      <c r="R112" s="7">
        <f>IFERROR(J112/E112,"")</f>
        <v/>
      </c>
      <c r="S112" s="7">
        <f>IFERROR(K112/E112,"")</f>
        <v/>
      </c>
      <c r="T112" s="7">
        <f>IFERROR(M112/E112,"")</f>
        <v/>
      </c>
      <c r="U112" s="7">
        <f>IFERROR(N112/E112,"")</f>
        <v/>
      </c>
      <c r="V112" s="6">
        <f>IFERROR(INDEX('設定・凡例'!$H$20:$H$24,MATCH(D112,'設定・凡例'!$G$20:$G$24,0)),"")</f>
        <v/>
      </c>
      <c r="W112" s="26">
        <f>IF(E112="","",IF(ISNUMBER(V112),IF(E112&gt;=V112,"○","×"),"-"))</f>
        <v/>
      </c>
    </row>
    <row r="113">
      <c r="A113" s="25" t="n"/>
      <c r="B113" s="26">
        <f>IF(A113="","",TEXT(A113,"YYYY-MM"))</f>
        <v/>
      </c>
      <c r="C113" s="27" t="n"/>
      <c r="D113" s="27" t="n"/>
      <c r="E113" s="9" t="n"/>
      <c r="F113" s="9" t="n"/>
      <c r="G113" s="9" t="n"/>
      <c r="H113" s="28" t="n"/>
      <c r="I113" s="28" t="n"/>
      <c r="J113" s="9" t="n"/>
      <c r="K113" s="9" t="n"/>
      <c r="L113" s="9" t="n"/>
      <c r="M113" s="9" t="n"/>
      <c r="N113" s="9" t="n"/>
      <c r="O113" s="7">
        <f>IFERROR(F113/E113,"")</f>
        <v/>
      </c>
      <c r="P113" s="7">
        <f>IFERROR(G113/E113,"")</f>
        <v/>
      </c>
      <c r="Q113" s="7">
        <f>IFERROR(H113/I113,"")</f>
        <v/>
      </c>
      <c r="R113" s="7">
        <f>IFERROR(J113/E113,"")</f>
        <v/>
      </c>
      <c r="S113" s="7">
        <f>IFERROR(K113/E113,"")</f>
        <v/>
      </c>
      <c r="T113" s="7">
        <f>IFERROR(M113/E113,"")</f>
        <v/>
      </c>
      <c r="U113" s="7">
        <f>IFERROR(N113/E113,"")</f>
        <v/>
      </c>
      <c r="V113" s="6">
        <f>IFERROR(INDEX('設定・凡例'!$H$20:$H$24,MATCH(D113,'設定・凡例'!$G$20:$G$24,0)),"")</f>
        <v/>
      </c>
      <c r="W113" s="26">
        <f>IF(E113="","",IF(ISNUMBER(V113),IF(E113&gt;=V113,"○","×"),"-"))</f>
        <v/>
      </c>
    </row>
    <row r="114">
      <c r="A114" s="25" t="n"/>
      <c r="B114" s="26">
        <f>IF(A114="","",TEXT(A114,"YYYY-MM"))</f>
        <v/>
      </c>
      <c r="C114" s="27" t="n"/>
      <c r="D114" s="27" t="n"/>
      <c r="E114" s="9" t="n"/>
      <c r="F114" s="9" t="n"/>
      <c r="G114" s="9" t="n"/>
      <c r="H114" s="28" t="n"/>
      <c r="I114" s="28" t="n"/>
      <c r="J114" s="9" t="n"/>
      <c r="K114" s="9" t="n"/>
      <c r="L114" s="9" t="n"/>
      <c r="M114" s="9" t="n"/>
      <c r="N114" s="9" t="n"/>
      <c r="O114" s="7">
        <f>IFERROR(F114/E114,"")</f>
        <v/>
      </c>
      <c r="P114" s="7">
        <f>IFERROR(G114/E114,"")</f>
        <v/>
      </c>
      <c r="Q114" s="7">
        <f>IFERROR(H114/I114,"")</f>
        <v/>
      </c>
      <c r="R114" s="7">
        <f>IFERROR(J114/E114,"")</f>
        <v/>
      </c>
      <c r="S114" s="7">
        <f>IFERROR(K114/E114,"")</f>
        <v/>
      </c>
      <c r="T114" s="7">
        <f>IFERROR(M114/E114,"")</f>
        <v/>
      </c>
      <c r="U114" s="7">
        <f>IFERROR(N114/E114,"")</f>
        <v/>
      </c>
      <c r="V114" s="6">
        <f>IFERROR(INDEX('設定・凡例'!$H$20:$H$24,MATCH(D114,'設定・凡例'!$G$20:$G$24,0)),"")</f>
        <v/>
      </c>
      <c r="W114" s="26">
        <f>IF(E114="","",IF(ISNUMBER(V114),IF(E114&gt;=V114,"○","×"),"-"))</f>
        <v/>
      </c>
    </row>
    <row r="115">
      <c r="A115" s="25" t="n"/>
      <c r="B115" s="26">
        <f>IF(A115="","",TEXT(A115,"YYYY-MM"))</f>
        <v/>
      </c>
      <c r="C115" s="27" t="n"/>
      <c r="D115" s="27" t="n"/>
      <c r="E115" s="9" t="n"/>
      <c r="F115" s="9" t="n"/>
      <c r="G115" s="9" t="n"/>
      <c r="H115" s="28" t="n"/>
      <c r="I115" s="28" t="n"/>
      <c r="J115" s="9" t="n"/>
      <c r="K115" s="9" t="n"/>
      <c r="L115" s="9" t="n"/>
      <c r="M115" s="9" t="n"/>
      <c r="N115" s="9" t="n"/>
      <c r="O115" s="7">
        <f>IFERROR(F115/E115,"")</f>
        <v/>
      </c>
      <c r="P115" s="7">
        <f>IFERROR(G115/E115,"")</f>
        <v/>
      </c>
      <c r="Q115" s="7">
        <f>IFERROR(H115/I115,"")</f>
        <v/>
      </c>
      <c r="R115" s="7">
        <f>IFERROR(J115/E115,"")</f>
        <v/>
      </c>
      <c r="S115" s="7">
        <f>IFERROR(K115/E115,"")</f>
        <v/>
      </c>
      <c r="T115" s="7">
        <f>IFERROR(M115/E115,"")</f>
        <v/>
      </c>
      <c r="U115" s="7">
        <f>IFERROR(N115/E115,"")</f>
        <v/>
      </c>
      <c r="V115" s="6">
        <f>IFERROR(INDEX('設定・凡例'!$H$20:$H$24,MATCH(D115,'設定・凡例'!$G$20:$G$24,0)),"")</f>
        <v/>
      </c>
      <c r="W115" s="26">
        <f>IF(E115="","",IF(ISNUMBER(V115),IF(E115&gt;=V115,"○","×"),"-"))</f>
        <v/>
      </c>
    </row>
    <row r="116">
      <c r="A116" s="25" t="n"/>
      <c r="B116" s="26">
        <f>IF(A116="","",TEXT(A116,"YYYY-MM"))</f>
        <v/>
      </c>
      <c r="C116" s="27" t="n"/>
      <c r="D116" s="27" t="n"/>
      <c r="E116" s="9" t="n"/>
      <c r="F116" s="9" t="n"/>
      <c r="G116" s="9" t="n"/>
      <c r="H116" s="28" t="n"/>
      <c r="I116" s="28" t="n"/>
      <c r="J116" s="9" t="n"/>
      <c r="K116" s="9" t="n"/>
      <c r="L116" s="9" t="n"/>
      <c r="M116" s="9" t="n"/>
      <c r="N116" s="9" t="n"/>
      <c r="O116" s="7">
        <f>IFERROR(F116/E116,"")</f>
        <v/>
      </c>
      <c r="P116" s="7">
        <f>IFERROR(G116/E116,"")</f>
        <v/>
      </c>
      <c r="Q116" s="7">
        <f>IFERROR(H116/I116,"")</f>
        <v/>
      </c>
      <c r="R116" s="7">
        <f>IFERROR(J116/E116,"")</f>
        <v/>
      </c>
      <c r="S116" s="7">
        <f>IFERROR(K116/E116,"")</f>
        <v/>
      </c>
      <c r="T116" s="7">
        <f>IFERROR(M116/E116,"")</f>
        <v/>
      </c>
      <c r="U116" s="7">
        <f>IFERROR(N116/E116,"")</f>
        <v/>
      </c>
      <c r="V116" s="6">
        <f>IFERROR(INDEX('設定・凡例'!$H$20:$H$24,MATCH(D116,'設定・凡例'!$G$20:$G$24,0)),"")</f>
        <v/>
      </c>
      <c r="W116" s="26">
        <f>IF(E116="","",IF(ISNUMBER(V116),IF(E116&gt;=V116,"○","×"),"-"))</f>
        <v/>
      </c>
    </row>
    <row r="117">
      <c r="A117" s="25" t="n"/>
      <c r="B117" s="26">
        <f>IF(A117="","",TEXT(A117,"YYYY-MM"))</f>
        <v/>
      </c>
      <c r="C117" s="27" t="n"/>
      <c r="D117" s="27" t="n"/>
      <c r="E117" s="9" t="n"/>
      <c r="F117" s="9" t="n"/>
      <c r="G117" s="9" t="n"/>
      <c r="H117" s="28" t="n"/>
      <c r="I117" s="28" t="n"/>
      <c r="J117" s="9" t="n"/>
      <c r="K117" s="9" t="n"/>
      <c r="L117" s="9" t="n"/>
      <c r="M117" s="9" t="n"/>
      <c r="N117" s="9" t="n"/>
      <c r="O117" s="7">
        <f>IFERROR(F117/E117,"")</f>
        <v/>
      </c>
      <c r="P117" s="7">
        <f>IFERROR(G117/E117,"")</f>
        <v/>
      </c>
      <c r="Q117" s="7">
        <f>IFERROR(H117/I117,"")</f>
        <v/>
      </c>
      <c r="R117" s="7">
        <f>IFERROR(J117/E117,"")</f>
        <v/>
      </c>
      <c r="S117" s="7">
        <f>IFERROR(K117/E117,"")</f>
        <v/>
      </c>
      <c r="T117" s="7">
        <f>IFERROR(M117/E117,"")</f>
        <v/>
      </c>
      <c r="U117" s="7">
        <f>IFERROR(N117/E117,"")</f>
        <v/>
      </c>
      <c r="V117" s="6">
        <f>IFERROR(INDEX('設定・凡例'!$H$20:$H$24,MATCH(D117,'設定・凡例'!$G$20:$G$24,0)),"")</f>
        <v/>
      </c>
      <c r="W117" s="26">
        <f>IF(E117="","",IF(ISNUMBER(V117),IF(E117&gt;=V117,"○","×"),"-"))</f>
        <v/>
      </c>
    </row>
    <row r="118">
      <c r="A118" s="25" t="n"/>
      <c r="B118" s="26">
        <f>IF(A118="","",TEXT(A118,"YYYY-MM"))</f>
        <v/>
      </c>
      <c r="C118" s="27" t="n"/>
      <c r="D118" s="27" t="n"/>
      <c r="E118" s="9" t="n"/>
      <c r="F118" s="9" t="n"/>
      <c r="G118" s="9" t="n"/>
      <c r="H118" s="28" t="n"/>
      <c r="I118" s="28" t="n"/>
      <c r="J118" s="9" t="n"/>
      <c r="K118" s="9" t="n"/>
      <c r="L118" s="9" t="n"/>
      <c r="M118" s="9" t="n"/>
      <c r="N118" s="9" t="n"/>
      <c r="O118" s="7">
        <f>IFERROR(F118/E118,"")</f>
        <v/>
      </c>
      <c r="P118" s="7">
        <f>IFERROR(G118/E118,"")</f>
        <v/>
      </c>
      <c r="Q118" s="7">
        <f>IFERROR(H118/I118,"")</f>
        <v/>
      </c>
      <c r="R118" s="7">
        <f>IFERROR(J118/E118,"")</f>
        <v/>
      </c>
      <c r="S118" s="7">
        <f>IFERROR(K118/E118,"")</f>
        <v/>
      </c>
      <c r="T118" s="7">
        <f>IFERROR(M118/E118,"")</f>
        <v/>
      </c>
      <c r="U118" s="7">
        <f>IFERROR(N118/E118,"")</f>
        <v/>
      </c>
      <c r="V118" s="6">
        <f>IFERROR(INDEX('設定・凡例'!$H$20:$H$24,MATCH(D118,'設定・凡例'!$G$20:$G$24,0)),"")</f>
        <v/>
      </c>
      <c r="W118" s="26">
        <f>IF(E118="","",IF(ISNUMBER(V118),IF(E118&gt;=V118,"○","×"),"-"))</f>
        <v/>
      </c>
    </row>
    <row r="119">
      <c r="A119" s="25" t="n"/>
      <c r="B119" s="26">
        <f>IF(A119="","",TEXT(A119,"YYYY-MM"))</f>
        <v/>
      </c>
      <c r="C119" s="27" t="n"/>
      <c r="D119" s="27" t="n"/>
      <c r="E119" s="9" t="n"/>
      <c r="F119" s="9" t="n"/>
      <c r="G119" s="9" t="n"/>
      <c r="H119" s="28" t="n"/>
      <c r="I119" s="28" t="n"/>
      <c r="J119" s="9" t="n"/>
      <c r="K119" s="9" t="n"/>
      <c r="L119" s="9" t="n"/>
      <c r="M119" s="9" t="n"/>
      <c r="N119" s="9" t="n"/>
      <c r="O119" s="7">
        <f>IFERROR(F119/E119,"")</f>
        <v/>
      </c>
      <c r="P119" s="7">
        <f>IFERROR(G119/E119,"")</f>
        <v/>
      </c>
      <c r="Q119" s="7">
        <f>IFERROR(H119/I119,"")</f>
        <v/>
      </c>
      <c r="R119" s="7">
        <f>IFERROR(J119/E119,"")</f>
        <v/>
      </c>
      <c r="S119" s="7">
        <f>IFERROR(K119/E119,"")</f>
        <v/>
      </c>
      <c r="T119" s="7">
        <f>IFERROR(M119/E119,"")</f>
        <v/>
      </c>
      <c r="U119" s="7">
        <f>IFERROR(N119/E119,"")</f>
        <v/>
      </c>
      <c r="V119" s="6">
        <f>IFERROR(INDEX('設定・凡例'!$H$20:$H$24,MATCH(D119,'設定・凡例'!$G$20:$G$24,0)),"")</f>
        <v/>
      </c>
      <c r="W119" s="26">
        <f>IF(E119="","",IF(ISNUMBER(V119),IF(E119&gt;=V119,"○","×"),"-"))</f>
        <v/>
      </c>
    </row>
    <row r="120">
      <c r="A120" s="25" t="n"/>
      <c r="B120" s="26">
        <f>IF(A120="","",TEXT(A120,"YYYY-MM"))</f>
        <v/>
      </c>
      <c r="C120" s="27" t="n"/>
      <c r="D120" s="27" t="n"/>
      <c r="E120" s="9" t="n"/>
      <c r="F120" s="9" t="n"/>
      <c r="G120" s="9" t="n"/>
      <c r="H120" s="28" t="n"/>
      <c r="I120" s="28" t="n"/>
      <c r="J120" s="9" t="n"/>
      <c r="K120" s="9" t="n"/>
      <c r="L120" s="9" t="n"/>
      <c r="M120" s="9" t="n"/>
      <c r="N120" s="9" t="n"/>
      <c r="O120" s="7">
        <f>IFERROR(F120/E120,"")</f>
        <v/>
      </c>
      <c r="P120" s="7">
        <f>IFERROR(G120/E120,"")</f>
        <v/>
      </c>
      <c r="Q120" s="7">
        <f>IFERROR(H120/I120,"")</f>
        <v/>
      </c>
      <c r="R120" s="7">
        <f>IFERROR(J120/E120,"")</f>
        <v/>
      </c>
      <c r="S120" s="7">
        <f>IFERROR(K120/E120,"")</f>
        <v/>
      </c>
      <c r="T120" s="7">
        <f>IFERROR(M120/E120,"")</f>
        <v/>
      </c>
      <c r="U120" s="7">
        <f>IFERROR(N120/E120,"")</f>
        <v/>
      </c>
      <c r="V120" s="6">
        <f>IFERROR(INDEX('設定・凡例'!$H$20:$H$24,MATCH(D120,'設定・凡例'!$G$20:$G$24,0)),"")</f>
        <v/>
      </c>
      <c r="W120" s="26">
        <f>IF(E120="","",IF(ISNUMBER(V120),IF(E120&gt;=V120,"○","×"),"-"))</f>
        <v/>
      </c>
    </row>
    <row r="121">
      <c r="A121" s="25" t="n"/>
      <c r="B121" s="26">
        <f>IF(A121="","",TEXT(A121,"YYYY-MM"))</f>
        <v/>
      </c>
      <c r="C121" s="27" t="n"/>
      <c r="D121" s="27" t="n"/>
      <c r="E121" s="9" t="n"/>
      <c r="F121" s="9" t="n"/>
      <c r="G121" s="9" t="n"/>
      <c r="H121" s="28" t="n"/>
      <c r="I121" s="28" t="n"/>
      <c r="J121" s="9" t="n"/>
      <c r="K121" s="9" t="n"/>
      <c r="L121" s="9" t="n"/>
      <c r="M121" s="9" t="n"/>
      <c r="N121" s="9" t="n"/>
      <c r="O121" s="7">
        <f>IFERROR(F121/E121,"")</f>
        <v/>
      </c>
      <c r="P121" s="7">
        <f>IFERROR(G121/E121,"")</f>
        <v/>
      </c>
      <c r="Q121" s="7">
        <f>IFERROR(H121/I121,"")</f>
        <v/>
      </c>
      <c r="R121" s="7">
        <f>IFERROR(J121/E121,"")</f>
        <v/>
      </c>
      <c r="S121" s="7">
        <f>IFERROR(K121/E121,"")</f>
        <v/>
      </c>
      <c r="T121" s="7">
        <f>IFERROR(M121/E121,"")</f>
        <v/>
      </c>
      <c r="U121" s="7">
        <f>IFERROR(N121/E121,"")</f>
        <v/>
      </c>
      <c r="V121" s="6">
        <f>IFERROR(INDEX('設定・凡例'!$H$20:$H$24,MATCH(D121,'設定・凡例'!$G$20:$G$24,0)),"")</f>
        <v/>
      </c>
      <c r="W121" s="26">
        <f>IF(E121="","",IF(ISNUMBER(V121),IF(E121&gt;=V121,"○","×"),"-"))</f>
        <v/>
      </c>
    </row>
    <row r="122">
      <c r="A122" s="25" t="n"/>
      <c r="B122" s="26">
        <f>IF(A122="","",TEXT(A122,"YYYY-MM"))</f>
        <v/>
      </c>
      <c r="C122" s="27" t="n"/>
      <c r="D122" s="27" t="n"/>
      <c r="E122" s="9" t="n"/>
      <c r="F122" s="9" t="n"/>
      <c r="G122" s="9" t="n"/>
      <c r="H122" s="28" t="n"/>
      <c r="I122" s="28" t="n"/>
      <c r="J122" s="9" t="n"/>
      <c r="K122" s="9" t="n"/>
      <c r="L122" s="9" t="n"/>
      <c r="M122" s="9" t="n"/>
      <c r="N122" s="9" t="n"/>
      <c r="O122" s="7">
        <f>IFERROR(F122/E122,"")</f>
        <v/>
      </c>
      <c r="P122" s="7">
        <f>IFERROR(G122/E122,"")</f>
        <v/>
      </c>
      <c r="Q122" s="7">
        <f>IFERROR(H122/I122,"")</f>
        <v/>
      </c>
      <c r="R122" s="7">
        <f>IFERROR(J122/E122,"")</f>
        <v/>
      </c>
      <c r="S122" s="7">
        <f>IFERROR(K122/E122,"")</f>
        <v/>
      </c>
      <c r="T122" s="7">
        <f>IFERROR(M122/E122,"")</f>
        <v/>
      </c>
      <c r="U122" s="7">
        <f>IFERROR(N122/E122,"")</f>
        <v/>
      </c>
      <c r="V122" s="6">
        <f>IFERROR(INDEX('設定・凡例'!$H$20:$H$24,MATCH(D122,'設定・凡例'!$G$20:$G$24,0)),"")</f>
        <v/>
      </c>
      <c r="W122" s="26">
        <f>IF(E122="","",IF(ISNUMBER(V122),IF(E122&gt;=V122,"○","×"),"-"))</f>
        <v/>
      </c>
    </row>
    <row r="123">
      <c r="A123" s="25" t="n"/>
      <c r="B123" s="26">
        <f>IF(A123="","",TEXT(A123,"YYYY-MM"))</f>
        <v/>
      </c>
      <c r="C123" s="27" t="n"/>
      <c r="D123" s="27" t="n"/>
      <c r="E123" s="9" t="n"/>
      <c r="F123" s="9" t="n"/>
      <c r="G123" s="9" t="n"/>
      <c r="H123" s="28" t="n"/>
      <c r="I123" s="28" t="n"/>
      <c r="J123" s="9" t="n"/>
      <c r="K123" s="9" t="n"/>
      <c r="L123" s="9" t="n"/>
      <c r="M123" s="9" t="n"/>
      <c r="N123" s="9" t="n"/>
      <c r="O123" s="7">
        <f>IFERROR(F123/E123,"")</f>
        <v/>
      </c>
      <c r="P123" s="7">
        <f>IFERROR(G123/E123,"")</f>
        <v/>
      </c>
      <c r="Q123" s="7">
        <f>IFERROR(H123/I123,"")</f>
        <v/>
      </c>
      <c r="R123" s="7">
        <f>IFERROR(J123/E123,"")</f>
        <v/>
      </c>
      <c r="S123" s="7">
        <f>IFERROR(K123/E123,"")</f>
        <v/>
      </c>
      <c r="T123" s="7">
        <f>IFERROR(M123/E123,"")</f>
        <v/>
      </c>
      <c r="U123" s="7">
        <f>IFERROR(N123/E123,"")</f>
        <v/>
      </c>
      <c r="V123" s="6">
        <f>IFERROR(INDEX('設定・凡例'!$H$20:$H$24,MATCH(D123,'設定・凡例'!$G$20:$G$24,0)),"")</f>
        <v/>
      </c>
      <c r="W123" s="26">
        <f>IF(E123="","",IF(ISNUMBER(V123),IF(E123&gt;=V123,"○","×"),"-"))</f>
        <v/>
      </c>
    </row>
    <row r="124">
      <c r="A124" s="25" t="n"/>
      <c r="B124" s="26">
        <f>IF(A124="","",TEXT(A124,"YYYY-MM"))</f>
        <v/>
      </c>
      <c r="C124" s="27" t="n"/>
      <c r="D124" s="27" t="n"/>
      <c r="E124" s="9" t="n"/>
      <c r="F124" s="9" t="n"/>
      <c r="G124" s="9" t="n"/>
      <c r="H124" s="28" t="n"/>
      <c r="I124" s="28" t="n"/>
      <c r="J124" s="9" t="n"/>
      <c r="K124" s="9" t="n"/>
      <c r="L124" s="9" t="n"/>
      <c r="M124" s="9" t="n"/>
      <c r="N124" s="9" t="n"/>
      <c r="O124" s="7">
        <f>IFERROR(F124/E124,"")</f>
        <v/>
      </c>
      <c r="P124" s="7">
        <f>IFERROR(G124/E124,"")</f>
        <v/>
      </c>
      <c r="Q124" s="7">
        <f>IFERROR(H124/I124,"")</f>
        <v/>
      </c>
      <c r="R124" s="7">
        <f>IFERROR(J124/E124,"")</f>
        <v/>
      </c>
      <c r="S124" s="7">
        <f>IFERROR(K124/E124,"")</f>
        <v/>
      </c>
      <c r="T124" s="7">
        <f>IFERROR(M124/E124,"")</f>
        <v/>
      </c>
      <c r="U124" s="7">
        <f>IFERROR(N124/E124,"")</f>
        <v/>
      </c>
      <c r="V124" s="6">
        <f>IFERROR(INDEX('設定・凡例'!$H$20:$H$24,MATCH(D124,'設定・凡例'!$G$20:$G$24,0)),"")</f>
        <v/>
      </c>
      <c r="W124" s="26">
        <f>IF(E124="","",IF(ISNUMBER(V124),IF(E124&gt;=V124,"○","×"),"-"))</f>
        <v/>
      </c>
    </row>
    <row r="125">
      <c r="A125" s="25" t="n"/>
      <c r="B125" s="26">
        <f>IF(A125="","",TEXT(A125,"YYYY-MM"))</f>
        <v/>
      </c>
      <c r="C125" s="27" t="n"/>
      <c r="D125" s="27" t="n"/>
      <c r="E125" s="9" t="n"/>
      <c r="F125" s="9" t="n"/>
      <c r="G125" s="9" t="n"/>
      <c r="H125" s="28" t="n"/>
      <c r="I125" s="28" t="n"/>
      <c r="J125" s="9" t="n"/>
      <c r="K125" s="9" t="n"/>
      <c r="L125" s="9" t="n"/>
      <c r="M125" s="9" t="n"/>
      <c r="N125" s="9" t="n"/>
      <c r="O125" s="7">
        <f>IFERROR(F125/E125,"")</f>
        <v/>
      </c>
      <c r="P125" s="7">
        <f>IFERROR(G125/E125,"")</f>
        <v/>
      </c>
      <c r="Q125" s="7">
        <f>IFERROR(H125/I125,"")</f>
        <v/>
      </c>
      <c r="R125" s="7">
        <f>IFERROR(J125/E125,"")</f>
        <v/>
      </c>
      <c r="S125" s="7">
        <f>IFERROR(K125/E125,"")</f>
        <v/>
      </c>
      <c r="T125" s="7">
        <f>IFERROR(M125/E125,"")</f>
        <v/>
      </c>
      <c r="U125" s="7">
        <f>IFERROR(N125/E125,"")</f>
        <v/>
      </c>
      <c r="V125" s="6">
        <f>IFERROR(INDEX('設定・凡例'!$H$20:$H$24,MATCH(D125,'設定・凡例'!$G$20:$G$24,0)),"")</f>
        <v/>
      </c>
      <c r="W125" s="26">
        <f>IF(E125="","",IF(ISNUMBER(V125),IF(E125&gt;=V125,"○","×"),"-"))</f>
        <v/>
      </c>
    </row>
    <row r="126">
      <c r="A126" s="25" t="n"/>
      <c r="B126" s="26">
        <f>IF(A126="","",TEXT(A126,"YYYY-MM"))</f>
        <v/>
      </c>
      <c r="C126" s="27" t="n"/>
      <c r="D126" s="27" t="n"/>
      <c r="E126" s="9" t="n"/>
      <c r="F126" s="9" t="n"/>
      <c r="G126" s="9" t="n"/>
      <c r="H126" s="28" t="n"/>
      <c r="I126" s="28" t="n"/>
      <c r="J126" s="9" t="n"/>
      <c r="K126" s="9" t="n"/>
      <c r="L126" s="9" t="n"/>
      <c r="M126" s="9" t="n"/>
      <c r="N126" s="9" t="n"/>
      <c r="O126" s="7">
        <f>IFERROR(F126/E126,"")</f>
        <v/>
      </c>
      <c r="P126" s="7">
        <f>IFERROR(G126/E126,"")</f>
        <v/>
      </c>
      <c r="Q126" s="7">
        <f>IFERROR(H126/I126,"")</f>
        <v/>
      </c>
      <c r="R126" s="7">
        <f>IFERROR(J126/E126,"")</f>
        <v/>
      </c>
      <c r="S126" s="7">
        <f>IFERROR(K126/E126,"")</f>
        <v/>
      </c>
      <c r="T126" s="7">
        <f>IFERROR(M126/E126,"")</f>
        <v/>
      </c>
      <c r="U126" s="7">
        <f>IFERROR(N126/E126,"")</f>
        <v/>
      </c>
      <c r="V126" s="6">
        <f>IFERROR(INDEX('設定・凡例'!$H$20:$H$24,MATCH(D126,'設定・凡例'!$G$20:$G$24,0)),"")</f>
        <v/>
      </c>
      <c r="W126" s="26">
        <f>IF(E126="","",IF(ISNUMBER(V126),IF(E126&gt;=V126,"○","×"),"-"))</f>
        <v/>
      </c>
    </row>
    <row r="127">
      <c r="A127" s="25" t="n"/>
      <c r="B127" s="26">
        <f>IF(A127="","",TEXT(A127,"YYYY-MM"))</f>
        <v/>
      </c>
      <c r="C127" s="27" t="n"/>
      <c r="D127" s="27" t="n"/>
      <c r="E127" s="9" t="n"/>
      <c r="F127" s="9" t="n"/>
      <c r="G127" s="9" t="n"/>
      <c r="H127" s="28" t="n"/>
      <c r="I127" s="28" t="n"/>
      <c r="J127" s="9" t="n"/>
      <c r="K127" s="9" t="n"/>
      <c r="L127" s="9" t="n"/>
      <c r="M127" s="9" t="n"/>
      <c r="N127" s="9" t="n"/>
      <c r="O127" s="7">
        <f>IFERROR(F127/E127,"")</f>
        <v/>
      </c>
      <c r="P127" s="7">
        <f>IFERROR(G127/E127,"")</f>
        <v/>
      </c>
      <c r="Q127" s="7">
        <f>IFERROR(H127/I127,"")</f>
        <v/>
      </c>
      <c r="R127" s="7">
        <f>IFERROR(J127/E127,"")</f>
        <v/>
      </c>
      <c r="S127" s="7">
        <f>IFERROR(K127/E127,"")</f>
        <v/>
      </c>
      <c r="T127" s="7">
        <f>IFERROR(M127/E127,"")</f>
        <v/>
      </c>
      <c r="U127" s="7">
        <f>IFERROR(N127/E127,"")</f>
        <v/>
      </c>
      <c r="V127" s="6">
        <f>IFERROR(INDEX('設定・凡例'!$H$20:$H$24,MATCH(D127,'設定・凡例'!$G$20:$G$24,0)),"")</f>
        <v/>
      </c>
      <c r="W127" s="26">
        <f>IF(E127="","",IF(ISNUMBER(V127),IF(E127&gt;=V127,"○","×"),"-"))</f>
        <v/>
      </c>
    </row>
    <row r="128">
      <c r="A128" s="25" t="n"/>
      <c r="B128" s="26">
        <f>IF(A128="","",TEXT(A128,"YYYY-MM"))</f>
        <v/>
      </c>
      <c r="C128" s="27" t="n"/>
      <c r="D128" s="27" t="n"/>
      <c r="E128" s="9" t="n"/>
      <c r="F128" s="9" t="n"/>
      <c r="G128" s="9" t="n"/>
      <c r="H128" s="28" t="n"/>
      <c r="I128" s="28" t="n"/>
      <c r="J128" s="9" t="n"/>
      <c r="K128" s="9" t="n"/>
      <c r="L128" s="9" t="n"/>
      <c r="M128" s="9" t="n"/>
      <c r="N128" s="9" t="n"/>
      <c r="O128" s="7">
        <f>IFERROR(F128/E128,"")</f>
        <v/>
      </c>
      <c r="P128" s="7">
        <f>IFERROR(G128/E128,"")</f>
        <v/>
      </c>
      <c r="Q128" s="7">
        <f>IFERROR(H128/I128,"")</f>
        <v/>
      </c>
      <c r="R128" s="7">
        <f>IFERROR(J128/E128,"")</f>
        <v/>
      </c>
      <c r="S128" s="7">
        <f>IFERROR(K128/E128,"")</f>
        <v/>
      </c>
      <c r="T128" s="7">
        <f>IFERROR(M128/E128,"")</f>
        <v/>
      </c>
      <c r="U128" s="7">
        <f>IFERROR(N128/E128,"")</f>
        <v/>
      </c>
      <c r="V128" s="6">
        <f>IFERROR(INDEX('設定・凡例'!$H$20:$H$24,MATCH(D128,'設定・凡例'!$G$20:$G$24,0)),"")</f>
        <v/>
      </c>
      <c r="W128" s="26">
        <f>IF(E128="","",IF(ISNUMBER(V128),IF(E128&gt;=V128,"○","×"),"-"))</f>
        <v/>
      </c>
    </row>
    <row r="129">
      <c r="A129" s="25" t="n"/>
      <c r="B129" s="26">
        <f>IF(A129="","",TEXT(A129,"YYYY-MM"))</f>
        <v/>
      </c>
      <c r="C129" s="27" t="n"/>
      <c r="D129" s="27" t="n"/>
      <c r="E129" s="9" t="n"/>
      <c r="F129" s="9" t="n"/>
      <c r="G129" s="9" t="n"/>
      <c r="H129" s="28" t="n"/>
      <c r="I129" s="28" t="n"/>
      <c r="J129" s="9" t="n"/>
      <c r="K129" s="9" t="n"/>
      <c r="L129" s="9" t="n"/>
      <c r="M129" s="9" t="n"/>
      <c r="N129" s="9" t="n"/>
      <c r="O129" s="7">
        <f>IFERROR(F129/E129,"")</f>
        <v/>
      </c>
      <c r="P129" s="7">
        <f>IFERROR(G129/E129,"")</f>
        <v/>
      </c>
      <c r="Q129" s="7">
        <f>IFERROR(H129/I129,"")</f>
        <v/>
      </c>
      <c r="R129" s="7">
        <f>IFERROR(J129/E129,"")</f>
        <v/>
      </c>
      <c r="S129" s="7">
        <f>IFERROR(K129/E129,"")</f>
        <v/>
      </c>
      <c r="T129" s="7">
        <f>IFERROR(M129/E129,"")</f>
        <v/>
      </c>
      <c r="U129" s="7">
        <f>IFERROR(N129/E129,"")</f>
        <v/>
      </c>
      <c r="V129" s="6">
        <f>IFERROR(INDEX('設定・凡例'!$H$20:$H$24,MATCH(D129,'設定・凡例'!$G$20:$G$24,0)),"")</f>
        <v/>
      </c>
      <c r="W129" s="26">
        <f>IF(E129="","",IF(ISNUMBER(V129),IF(E129&gt;=V129,"○","×"),"-"))</f>
        <v/>
      </c>
    </row>
    <row r="130">
      <c r="A130" s="25" t="n"/>
      <c r="B130" s="26">
        <f>IF(A130="","",TEXT(A130,"YYYY-MM"))</f>
        <v/>
      </c>
      <c r="C130" s="27" t="n"/>
      <c r="D130" s="27" t="n"/>
      <c r="E130" s="9" t="n"/>
      <c r="F130" s="9" t="n"/>
      <c r="G130" s="9" t="n"/>
      <c r="H130" s="28" t="n"/>
      <c r="I130" s="28" t="n"/>
      <c r="J130" s="9" t="n"/>
      <c r="K130" s="9" t="n"/>
      <c r="L130" s="9" t="n"/>
      <c r="M130" s="9" t="n"/>
      <c r="N130" s="9" t="n"/>
      <c r="O130" s="7">
        <f>IFERROR(F130/E130,"")</f>
        <v/>
      </c>
      <c r="P130" s="7">
        <f>IFERROR(G130/E130,"")</f>
        <v/>
      </c>
      <c r="Q130" s="7">
        <f>IFERROR(H130/I130,"")</f>
        <v/>
      </c>
      <c r="R130" s="7">
        <f>IFERROR(J130/E130,"")</f>
        <v/>
      </c>
      <c r="S130" s="7">
        <f>IFERROR(K130/E130,"")</f>
        <v/>
      </c>
      <c r="T130" s="7">
        <f>IFERROR(M130/E130,"")</f>
        <v/>
      </c>
      <c r="U130" s="7">
        <f>IFERROR(N130/E130,"")</f>
        <v/>
      </c>
      <c r="V130" s="6">
        <f>IFERROR(INDEX('設定・凡例'!$H$20:$H$24,MATCH(D130,'設定・凡例'!$G$20:$G$24,0)),"")</f>
        <v/>
      </c>
      <c r="W130" s="26">
        <f>IF(E130="","",IF(ISNUMBER(V130),IF(E130&gt;=V130,"○","×"),"-"))</f>
        <v/>
      </c>
    </row>
    <row r="131">
      <c r="A131" s="25" t="n"/>
      <c r="B131" s="26">
        <f>IF(A131="","",TEXT(A131,"YYYY-MM"))</f>
        <v/>
      </c>
      <c r="C131" s="27" t="n"/>
      <c r="D131" s="27" t="n"/>
      <c r="E131" s="9" t="n"/>
      <c r="F131" s="9" t="n"/>
      <c r="G131" s="9" t="n"/>
      <c r="H131" s="28" t="n"/>
      <c r="I131" s="28" t="n"/>
      <c r="J131" s="9" t="n"/>
      <c r="K131" s="9" t="n"/>
      <c r="L131" s="9" t="n"/>
      <c r="M131" s="9" t="n"/>
      <c r="N131" s="9" t="n"/>
      <c r="O131" s="7">
        <f>IFERROR(F131/E131,"")</f>
        <v/>
      </c>
      <c r="P131" s="7">
        <f>IFERROR(G131/E131,"")</f>
        <v/>
      </c>
      <c r="Q131" s="7">
        <f>IFERROR(H131/I131,"")</f>
        <v/>
      </c>
      <c r="R131" s="7">
        <f>IFERROR(J131/E131,"")</f>
        <v/>
      </c>
      <c r="S131" s="7">
        <f>IFERROR(K131/E131,"")</f>
        <v/>
      </c>
      <c r="T131" s="7">
        <f>IFERROR(M131/E131,"")</f>
        <v/>
      </c>
      <c r="U131" s="7">
        <f>IFERROR(N131/E131,"")</f>
        <v/>
      </c>
      <c r="V131" s="6">
        <f>IFERROR(INDEX('設定・凡例'!$H$20:$H$24,MATCH(D131,'設定・凡例'!$G$20:$G$24,0)),"")</f>
        <v/>
      </c>
      <c r="W131" s="26">
        <f>IF(E131="","",IF(ISNUMBER(V131),IF(E131&gt;=V131,"○","×"),"-"))</f>
        <v/>
      </c>
    </row>
    <row r="132">
      <c r="A132" s="25" t="n"/>
      <c r="B132" s="26">
        <f>IF(A132="","",TEXT(A132,"YYYY-MM"))</f>
        <v/>
      </c>
      <c r="C132" s="27" t="n"/>
      <c r="D132" s="27" t="n"/>
      <c r="E132" s="9" t="n"/>
      <c r="F132" s="9" t="n"/>
      <c r="G132" s="9" t="n"/>
      <c r="H132" s="28" t="n"/>
      <c r="I132" s="28" t="n"/>
      <c r="J132" s="9" t="n"/>
      <c r="K132" s="9" t="n"/>
      <c r="L132" s="9" t="n"/>
      <c r="M132" s="9" t="n"/>
      <c r="N132" s="9" t="n"/>
      <c r="O132" s="7">
        <f>IFERROR(F132/E132,"")</f>
        <v/>
      </c>
      <c r="P132" s="7">
        <f>IFERROR(G132/E132,"")</f>
        <v/>
      </c>
      <c r="Q132" s="7">
        <f>IFERROR(H132/I132,"")</f>
        <v/>
      </c>
      <c r="R132" s="7">
        <f>IFERROR(J132/E132,"")</f>
        <v/>
      </c>
      <c r="S132" s="7">
        <f>IFERROR(K132/E132,"")</f>
        <v/>
      </c>
      <c r="T132" s="7">
        <f>IFERROR(M132/E132,"")</f>
        <v/>
      </c>
      <c r="U132" s="7">
        <f>IFERROR(N132/E132,"")</f>
        <v/>
      </c>
      <c r="V132" s="6">
        <f>IFERROR(INDEX('設定・凡例'!$H$20:$H$24,MATCH(D132,'設定・凡例'!$G$20:$G$24,0)),"")</f>
        <v/>
      </c>
      <c r="W132" s="26">
        <f>IF(E132="","",IF(ISNUMBER(V132),IF(E132&gt;=V132,"○","×"),"-"))</f>
        <v/>
      </c>
    </row>
    <row r="133">
      <c r="A133" s="25" t="n"/>
      <c r="B133" s="26">
        <f>IF(A133="","",TEXT(A133,"YYYY-MM"))</f>
        <v/>
      </c>
      <c r="C133" s="27" t="n"/>
      <c r="D133" s="27" t="n"/>
      <c r="E133" s="9" t="n"/>
      <c r="F133" s="9" t="n"/>
      <c r="G133" s="9" t="n"/>
      <c r="H133" s="28" t="n"/>
      <c r="I133" s="28" t="n"/>
      <c r="J133" s="9" t="n"/>
      <c r="K133" s="9" t="n"/>
      <c r="L133" s="9" t="n"/>
      <c r="M133" s="9" t="n"/>
      <c r="N133" s="9" t="n"/>
      <c r="O133" s="7">
        <f>IFERROR(F133/E133,"")</f>
        <v/>
      </c>
      <c r="P133" s="7">
        <f>IFERROR(G133/E133,"")</f>
        <v/>
      </c>
      <c r="Q133" s="7">
        <f>IFERROR(H133/I133,"")</f>
        <v/>
      </c>
      <c r="R133" s="7">
        <f>IFERROR(J133/E133,"")</f>
        <v/>
      </c>
      <c r="S133" s="7">
        <f>IFERROR(K133/E133,"")</f>
        <v/>
      </c>
      <c r="T133" s="7">
        <f>IFERROR(M133/E133,"")</f>
        <v/>
      </c>
      <c r="U133" s="7">
        <f>IFERROR(N133/E133,"")</f>
        <v/>
      </c>
      <c r="V133" s="6">
        <f>IFERROR(INDEX('設定・凡例'!$H$20:$H$24,MATCH(D133,'設定・凡例'!$G$20:$G$24,0)),"")</f>
        <v/>
      </c>
      <c r="W133" s="26">
        <f>IF(E133="","",IF(ISNUMBER(V133),IF(E133&gt;=V133,"○","×"),"-"))</f>
        <v/>
      </c>
    </row>
    <row r="134">
      <c r="A134" s="25" t="n"/>
      <c r="B134" s="26">
        <f>IF(A134="","",TEXT(A134,"YYYY-MM"))</f>
        <v/>
      </c>
      <c r="C134" s="27" t="n"/>
      <c r="D134" s="27" t="n"/>
      <c r="E134" s="9" t="n"/>
      <c r="F134" s="9" t="n"/>
      <c r="G134" s="9" t="n"/>
      <c r="H134" s="28" t="n"/>
      <c r="I134" s="28" t="n"/>
      <c r="J134" s="9" t="n"/>
      <c r="K134" s="9" t="n"/>
      <c r="L134" s="9" t="n"/>
      <c r="M134" s="9" t="n"/>
      <c r="N134" s="9" t="n"/>
      <c r="O134" s="7">
        <f>IFERROR(F134/E134,"")</f>
        <v/>
      </c>
      <c r="P134" s="7">
        <f>IFERROR(G134/E134,"")</f>
        <v/>
      </c>
      <c r="Q134" s="7">
        <f>IFERROR(H134/I134,"")</f>
        <v/>
      </c>
      <c r="R134" s="7">
        <f>IFERROR(J134/E134,"")</f>
        <v/>
      </c>
      <c r="S134" s="7">
        <f>IFERROR(K134/E134,"")</f>
        <v/>
      </c>
      <c r="T134" s="7">
        <f>IFERROR(M134/E134,"")</f>
        <v/>
      </c>
      <c r="U134" s="7">
        <f>IFERROR(N134/E134,"")</f>
        <v/>
      </c>
      <c r="V134" s="6">
        <f>IFERROR(INDEX('設定・凡例'!$H$20:$H$24,MATCH(D134,'設定・凡例'!$G$20:$G$24,0)),"")</f>
        <v/>
      </c>
      <c r="W134" s="26">
        <f>IF(E134="","",IF(ISNUMBER(V134),IF(E134&gt;=V134,"○","×"),"-"))</f>
        <v/>
      </c>
    </row>
    <row r="135">
      <c r="A135" s="25" t="n"/>
      <c r="B135" s="26">
        <f>IF(A135="","",TEXT(A135,"YYYY-MM"))</f>
        <v/>
      </c>
      <c r="C135" s="27" t="n"/>
      <c r="D135" s="27" t="n"/>
      <c r="E135" s="9" t="n"/>
      <c r="F135" s="9" t="n"/>
      <c r="G135" s="9" t="n"/>
      <c r="H135" s="28" t="n"/>
      <c r="I135" s="28" t="n"/>
      <c r="J135" s="9" t="n"/>
      <c r="K135" s="9" t="n"/>
      <c r="L135" s="9" t="n"/>
      <c r="M135" s="9" t="n"/>
      <c r="N135" s="9" t="n"/>
      <c r="O135" s="7">
        <f>IFERROR(F135/E135,"")</f>
        <v/>
      </c>
      <c r="P135" s="7">
        <f>IFERROR(G135/E135,"")</f>
        <v/>
      </c>
      <c r="Q135" s="7">
        <f>IFERROR(H135/I135,"")</f>
        <v/>
      </c>
      <c r="R135" s="7">
        <f>IFERROR(J135/E135,"")</f>
        <v/>
      </c>
      <c r="S135" s="7">
        <f>IFERROR(K135/E135,"")</f>
        <v/>
      </c>
      <c r="T135" s="7">
        <f>IFERROR(M135/E135,"")</f>
        <v/>
      </c>
      <c r="U135" s="7">
        <f>IFERROR(N135/E135,"")</f>
        <v/>
      </c>
      <c r="V135" s="6">
        <f>IFERROR(INDEX('設定・凡例'!$H$20:$H$24,MATCH(D135,'設定・凡例'!$G$20:$G$24,0)),"")</f>
        <v/>
      </c>
      <c r="W135" s="26">
        <f>IF(E135="","",IF(ISNUMBER(V135),IF(E135&gt;=V135,"○","×"),"-"))</f>
        <v/>
      </c>
    </row>
    <row r="136">
      <c r="A136" s="25" t="n"/>
      <c r="B136" s="26">
        <f>IF(A136="","",TEXT(A136,"YYYY-MM"))</f>
        <v/>
      </c>
      <c r="C136" s="27" t="n"/>
      <c r="D136" s="27" t="n"/>
      <c r="E136" s="9" t="n"/>
      <c r="F136" s="9" t="n"/>
      <c r="G136" s="9" t="n"/>
      <c r="H136" s="28" t="n"/>
      <c r="I136" s="28" t="n"/>
      <c r="J136" s="9" t="n"/>
      <c r="K136" s="9" t="n"/>
      <c r="L136" s="9" t="n"/>
      <c r="M136" s="9" t="n"/>
      <c r="N136" s="9" t="n"/>
      <c r="O136" s="7">
        <f>IFERROR(F136/E136,"")</f>
        <v/>
      </c>
      <c r="P136" s="7">
        <f>IFERROR(G136/E136,"")</f>
        <v/>
      </c>
      <c r="Q136" s="7">
        <f>IFERROR(H136/I136,"")</f>
        <v/>
      </c>
      <c r="R136" s="7">
        <f>IFERROR(J136/E136,"")</f>
        <v/>
      </c>
      <c r="S136" s="7">
        <f>IFERROR(K136/E136,"")</f>
        <v/>
      </c>
      <c r="T136" s="7">
        <f>IFERROR(M136/E136,"")</f>
        <v/>
      </c>
      <c r="U136" s="7">
        <f>IFERROR(N136/E136,"")</f>
        <v/>
      </c>
      <c r="V136" s="6">
        <f>IFERROR(INDEX('設定・凡例'!$H$20:$H$24,MATCH(D136,'設定・凡例'!$G$20:$G$24,0)),"")</f>
        <v/>
      </c>
      <c r="W136" s="26">
        <f>IF(E136="","",IF(ISNUMBER(V136),IF(E136&gt;=V136,"○","×"),"-"))</f>
        <v/>
      </c>
    </row>
    <row r="137">
      <c r="A137" s="25" t="n"/>
      <c r="B137" s="26">
        <f>IF(A137="","",TEXT(A137,"YYYY-MM"))</f>
        <v/>
      </c>
      <c r="C137" s="27" t="n"/>
      <c r="D137" s="27" t="n"/>
      <c r="E137" s="9" t="n"/>
      <c r="F137" s="9" t="n"/>
      <c r="G137" s="9" t="n"/>
      <c r="H137" s="28" t="n"/>
      <c r="I137" s="28" t="n"/>
      <c r="J137" s="9" t="n"/>
      <c r="K137" s="9" t="n"/>
      <c r="L137" s="9" t="n"/>
      <c r="M137" s="9" t="n"/>
      <c r="N137" s="9" t="n"/>
      <c r="O137" s="7">
        <f>IFERROR(F137/E137,"")</f>
        <v/>
      </c>
      <c r="P137" s="7">
        <f>IFERROR(G137/E137,"")</f>
        <v/>
      </c>
      <c r="Q137" s="7">
        <f>IFERROR(H137/I137,"")</f>
        <v/>
      </c>
      <c r="R137" s="7">
        <f>IFERROR(J137/E137,"")</f>
        <v/>
      </c>
      <c r="S137" s="7">
        <f>IFERROR(K137/E137,"")</f>
        <v/>
      </c>
      <c r="T137" s="7">
        <f>IFERROR(M137/E137,"")</f>
        <v/>
      </c>
      <c r="U137" s="7">
        <f>IFERROR(N137/E137,"")</f>
        <v/>
      </c>
      <c r="V137" s="6">
        <f>IFERROR(INDEX('設定・凡例'!$H$20:$H$24,MATCH(D137,'設定・凡例'!$G$20:$G$24,0)),"")</f>
        <v/>
      </c>
      <c r="W137" s="26">
        <f>IF(E137="","",IF(ISNUMBER(V137),IF(E137&gt;=V137,"○","×"),"-"))</f>
        <v/>
      </c>
    </row>
    <row r="138">
      <c r="A138" s="25" t="n"/>
      <c r="B138" s="26">
        <f>IF(A138="","",TEXT(A138,"YYYY-MM"))</f>
        <v/>
      </c>
      <c r="C138" s="27" t="n"/>
      <c r="D138" s="27" t="n"/>
      <c r="E138" s="9" t="n"/>
      <c r="F138" s="9" t="n"/>
      <c r="G138" s="9" t="n"/>
      <c r="H138" s="28" t="n"/>
      <c r="I138" s="28" t="n"/>
      <c r="J138" s="9" t="n"/>
      <c r="K138" s="9" t="n"/>
      <c r="L138" s="9" t="n"/>
      <c r="M138" s="9" t="n"/>
      <c r="N138" s="9" t="n"/>
      <c r="O138" s="7">
        <f>IFERROR(F138/E138,"")</f>
        <v/>
      </c>
      <c r="P138" s="7">
        <f>IFERROR(G138/E138,"")</f>
        <v/>
      </c>
      <c r="Q138" s="7">
        <f>IFERROR(H138/I138,"")</f>
        <v/>
      </c>
      <c r="R138" s="7">
        <f>IFERROR(J138/E138,"")</f>
        <v/>
      </c>
      <c r="S138" s="7">
        <f>IFERROR(K138/E138,"")</f>
        <v/>
      </c>
      <c r="T138" s="7">
        <f>IFERROR(M138/E138,"")</f>
        <v/>
      </c>
      <c r="U138" s="7">
        <f>IFERROR(N138/E138,"")</f>
        <v/>
      </c>
      <c r="V138" s="6">
        <f>IFERROR(INDEX('設定・凡例'!$H$20:$H$24,MATCH(D138,'設定・凡例'!$G$20:$G$24,0)),"")</f>
        <v/>
      </c>
      <c r="W138" s="26">
        <f>IF(E138="","",IF(ISNUMBER(V138),IF(E138&gt;=V138,"○","×"),"-"))</f>
        <v/>
      </c>
    </row>
    <row r="139">
      <c r="A139" s="25" t="n"/>
      <c r="B139" s="26">
        <f>IF(A139="","",TEXT(A139,"YYYY-MM"))</f>
        <v/>
      </c>
      <c r="C139" s="27" t="n"/>
      <c r="D139" s="27" t="n"/>
      <c r="E139" s="9" t="n"/>
      <c r="F139" s="9" t="n"/>
      <c r="G139" s="9" t="n"/>
      <c r="H139" s="28" t="n"/>
      <c r="I139" s="28" t="n"/>
      <c r="J139" s="9" t="n"/>
      <c r="K139" s="9" t="n"/>
      <c r="L139" s="9" t="n"/>
      <c r="M139" s="9" t="n"/>
      <c r="N139" s="9" t="n"/>
      <c r="O139" s="7">
        <f>IFERROR(F139/E139,"")</f>
        <v/>
      </c>
      <c r="P139" s="7">
        <f>IFERROR(G139/E139,"")</f>
        <v/>
      </c>
      <c r="Q139" s="7">
        <f>IFERROR(H139/I139,"")</f>
        <v/>
      </c>
      <c r="R139" s="7">
        <f>IFERROR(J139/E139,"")</f>
        <v/>
      </c>
      <c r="S139" s="7">
        <f>IFERROR(K139/E139,"")</f>
        <v/>
      </c>
      <c r="T139" s="7">
        <f>IFERROR(M139/E139,"")</f>
        <v/>
      </c>
      <c r="U139" s="7">
        <f>IFERROR(N139/E139,"")</f>
        <v/>
      </c>
      <c r="V139" s="6">
        <f>IFERROR(INDEX('設定・凡例'!$H$20:$H$24,MATCH(D139,'設定・凡例'!$G$20:$G$24,0)),"")</f>
        <v/>
      </c>
      <c r="W139" s="26">
        <f>IF(E139="","",IF(ISNUMBER(V139),IF(E139&gt;=V139,"○","×"),"-"))</f>
        <v/>
      </c>
    </row>
    <row r="140">
      <c r="A140" s="25" t="n"/>
      <c r="B140" s="26">
        <f>IF(A140="","",TEXT(A140,"YYYY-MM"))</f>
        <v/>
      </c>
      <c r="C140" s="27" t="n"/>
      <c r="D140" s="27" t="n"/>
      <c r="E140" s="9" t="n"/>
      <c r="F140" s="9" t="n"/>
      <c r="G140" s="9" t="n"/>
      <c r="H140" s="28" t="n"/>
      <c r="I140" s="28" t="n"/>
      <c r="J140" s="9" t="n"/>
      <c r="K140" s="9" t="n"/>
      <c r="L140" s="9" t="n"/>
      <c r="M140" s="9" t="n"/>
      <c r="N140" s="9" t="n"/>
      <c r="O140" s="7">
        <f>IFERROR(F140/E140,"")</f>
        <v/>
      </c>
      <c r="P140" s="7">
        <f>IFERROR(G140/E140,"")</f>
        <v/>
      </c>
      <c r="Q140" s="7">
        <f>IFERROR(H140/I140,"")</f>
        <v/>
      </c>
      <c r="R140" s="7">
        <f>IFERROR(J140/E140,"")</f>
        <v/>
      </c>
      <c r="S140" s="7">
        <f>IFERROR(K140/E140,"")</f>
        <v/>
      </c>
      <c r="T140" s="7">
        <f>IFERROR(M140/E140,"")</f>
        <v/>
      </c>
      <c r="U140" s="7">
        <f>IFERROR(N140/E140,"")</f>
        <v/>
      </c>
      <c r="V140" s="6">
        <f>IFERROR(INDEX('設定・凡例'!$H$20:$H$24,MATCH(D140,'設定・凡例'!$G$20:$G$24,0)),"")</f>
        <v/>
      </c>
      <c r="W140" s="26">
        <f>IF(E140="","",IF(ISNUMBER(V140),IF(E140&gt;=V140,"○","×"),"-"))</f>
        <v/>
      </c>
    </row>
    <row r="141">
      <c r="A141" s="25" t="n"/>
      <c r="B141" s="26">
        <f>IF(A141="","",TEXT(A141,"YYYY-MM"))</f>
        <v/>
      </c>
      <c r="C141" s="27" t="n"/>
      <c r="D141" s="27" t="n"/>
      <c r="E141" s="9" t="n"/>
      <c r="F141" s="9" t="n"/>
      <c r="G141" s="9" t="n"/>
      <c r="H141" s="28" t="n"/>
      <c r="I141" s="28" t="n"/>
      <c r="J141" s="9" t="n"/>
      <c r="K141" s="9" t="n"/>
      <c r="L141" s="9" t="n"/>
      <c r="M141" s="9" t="n"/>
      <c r="N141" s="9" t="n"/>
      <c r="O141" s="7">
        <f>IFERROR(F141/E141,"")</f>
        <v/>
      </c>
      <c r="P141" s="7">
        <f>IFERROR(G141/E141,"")</f>
        <v/>
      </c>
      <c r="Q141" s="7">
        <f>IFERROR(H141/I141,"")</f>
        <v/>
      </c>
      <c r="R141" s="7">
        <f>IFERROR(J141/E141,"")</f>
        <v/>
      </c>
      <c r="S141" s="7">
        <f>IFERROR(K141/E141,"")</f>
        <v/>
      </c>
      <c r="T141" s="7">
        <f>IFERROR(M141/E141,"")</f>
        <v/>
      </c>
      <c r="U141" s="7">
        <f>IFERROR(N141/E141,"")</f>
        <v/>
      </c>
      <c r="V141" s="6">
        <f>IFERROR(INDEX('設定・凡例'!$H$20:$H$24,MATCH(D141,'設定・凡例'!$G$20:$G$24,0)),"")</f>
        <v/>
      </c>
      <c r="W141" s="26">
        <f>IF(E141="","",IF(ISNUMBER(V141),IF(E141&gt;=V141,"○","×"),"-"))</f>
        <v/>
      </c>
    </row>
    <row r="142">
      <c r="A142" s="25" t="n"/>
      <c r="B142" s="26">
        <f>IF(A142="","",TEXT(A142,"YYYY-MM"))</f>
        <v/>
      </c>
      <c r="C142" s="27" t="n"/>
      <c r="D142" s="27" t="n"/>
      <c r="E142" s="9" t="n"/>
      <c r="F142" s="9" t="n"/>
      <c r="G142" s="9" t="n"/>
      <c r="H142" s="28" t="n"/>
      <c r="I142" s="28" t="n"/>
      <c r="J142" s="9" t="n"/>
      <c r="K142" s="9" t="n"/>
      <c r="L142" s="9" t="n"/>
      <c r="M142" s="9" t="n"/>
      <c r="N142" s="9" t="n"/>
      <c r="O142" s="7">
        <f>IFERROR(F142/E142,"")</f>
        <v/>
      </c>
      <c r="P142" s="7">
        <f>IFERROR(G142/E142,"")</f>
        <v/>
      </c>
      <c r="Q142" s="7">
        <f>IFERROR(H142/I142,"")</f>
        <v/>
      </c>
      <c r="R142" s="7">
        <f>IFERROR(J142/E142,"")</f>
        <v/>
      </c>
      <c r="S142" s="7">
        <f>IFERROR(K142/E142,"")</f>
        <v/>
      </c>
      <c r="T142" s="7">
        <f>IFERROR(M142/E142,"")</f>
        <v/>
      </c>
      <c r="U142" s="7">
        <f>IFERROR(N142/E142,"")</f>
        <v/>
      </c>
      <c r="V142" s="6">
        <f>IFERROR(INDEX('設定・凡例'!$H$20:$H$24,MATCH(D142,'設定・凡例'!$G$20:$G$24,0)),"")</f>
        <v/>
      </c>
      <c r="W142" s="26">
        <f>IF(E142="","",IF(ISNUMBER(V142),IF(E142&gt;=V142,"○","×"),"-"))</f>
        <v/>
      </c>
    </row>
    <row r="143">
      <c r="A143" s="25" t="n"/>
      <c r="B143" s="26">
        <f>IF(A143="","",TEXT(A143,"YYYY-MM"))</f>
        <v/>
      </c>
      <c r="C143" s="27" t="n"/>
      <c r="D143" s="27" t="n"/>
      <c r="E143" s="9" t="n"/>
      <c r="F143" s="9" t="n"/>
      <c r="G143" s="9" t="n"/>
      <c r="H143" s="28" t="n"/>
      <c r="I143" s="28" t="n"/>
      <c r="J143" s="9" t="n"/>
      <c r="K143" s="9" t="n"/>
      <c r="L143" s="9" t="n"/>
      <c r="M143" s="9" t="n"/>
      <c r="N143" s="9" t="n"/>
      <c r="O143" s="7">
        <f>IFERROR(F143/E143,"")</f>
        <v/>
      </c>
      <c r="P143" s="7">
        <f>IFERROR(G143/E143,"")</f>
        <v/>
      </c>
      <c r="Q143" s="7">
        <f>IFERROR(H143/I143,"")</f>
        <v/>
      </c>
      <c r="R143" s="7">
        <f>IFERROR(J143/E143,"")</f>
        <v/>
      </c>
      <c r="S143" s="7">
        <f>IFERROR(K143/E143,"")</f>
        <v/>
      </c>
      <c r="T143" s="7">
        <f>IFERROR(M143/E143,"")</f>
        <v/>
      </c>
      <c r="U143" s="7">
        <f>IFERROR(N143/E143,"")</f>
        <v/>
      </c>
      <c r="V143" s="6">
        <f>IFERROR(INDEX('設定・凡例'!$H$20:$H$24,MATCH(D143,'設定・凡例'!$G$20:$G$24,0)),"")</f>
        <v/>
      </c>
      <c r="W143" s="26">
        <f>IF(E143="","",IF(ISNUMBER(V143),IF(E143&gt;=V143,"○","×"),"-"))</f>
        <v/>
      </c>
    </row>
    <row r="144">
      <c r="A144" s="25" t="n"/>
      <c r="B144" s="26">
        <f>IF(A144="","",TEXT(A144,"YYYY-MM"))</f>
        <v/>
      </c>
      <c r="C144" s="27" t="n"/>
      <c r="D144" s="27" t="n"/>
      <c r="E144" s="9" t="n"/>
      <c r="F144" s="9" t="n"/>
      <c r="G144" s="9" t="n"/>
      <c r="H144" s="28" t="n"/>
      <c r="I144" s="28" t="n"/>
      <c r="J144" s="9" t="n"/>
      <c r="K144" s="9" t="n"/>
      <c r="L144" s="9" t="n"/>
      <c r="M144" s="9" t="n"/>
      <c r="N144" s="9" t="n"/>
      <c r="O144" s="7">
        <f>IFERROR(F144/E144,"")</f>
        <v/>
      </c>
      <c r="P144" s="7">
        <f>IFERROR(G144/E144,"")</f>
        <v/>
      </c>
      <c r="Q144" s="7">
        <f>IFERROR(H144/I144,"")</f>
        <v/>
      </c>
      <c r="R144" s="7">
        <f>IFERROR(J144/E144,"")</f>
        <v/>
      </c>
      <c r="S144" s="7">
        <f>IFERROR(K144/E144,"")</f>
        <v/>
      </c>
      <c r="T144" s="7">
        <f>IFERROR(M144/E144,"")</f>
        <v/>
      </c>
      <c r="U144" s="7">
        <f>IFERROR(N144/E144,"")</f>
        <v/>
      </c>
      <c r="V144" s="6">
        <f>IFERROR(INDEX('設定・凡例'!$H$20:$H$24,MATCH(D144,'設定・凡例'!$G$20:$G$24,0)),"")</f>
        <v/>
      </c>
      <c r="W144" s="26">
        <f>IF(E144="","",IF(ISNUMBER(V144),IF(E144&gt;=V144,"○","×"),"-"))</f>
        <v/>
      </c>
    </row>
    <row r="145">
      <c r="A145" s="25" t="n"/>
      <c r="B145" s="26">
        <f>IF(A145="","",TEXT(A145,"YYYY-MM"))</f>
        <v/>
      </c>
      <c r="C145" s="27" t="n"/>
      <c r="D145" s="27" t="n"/>
      <c r="E145" s="9" t="n"/>
      <c r="F145" s="9" t="n"/>
      <c r="G145" s="9" t="n"/>
      <c r="H145" s="28" t="n"/>
      <c r="I145" s="28" t="n"/>
      <c r="J145" s="9" t="n"/>
      <c r="K145" s="9" t="n"/>
      <c r="L145" s="9" t="n"/>
      <c r="M145" s="9" t="n"/>
      <c r="N145" s="9" t="n"/>
      <c r="O145" s="7">
        <f>IFERROR(F145/E145,"")</f>
        <v/>
      </c>
      <c r="P145" s="7">
        <f>IFERROR(G145/E145,"")</f>
        <v/>
      </c>
      <c r="Q145" s="7">
        <f>IFERROR(H145/I145,"")</f>
        <v/>
      </c>
      <c r="R145" s="7">
        <f>IFERROR(J145/E145,"")</f>
        <v/>
      </c>
      <c r="S145" s="7">
        <f>IFERROR(K145/E145,"")</f>
        <v/>
      </c>
      <c r="T145" s="7">
        <f>IFERROR(M145/E145,"")</f>
        <v/>
      </c>
      <c r="U145" s="7">
        <f>IFERROR(N145/E145,"")</f>
        <v/>
      </c>
      <c r="V145" s="6">
        <f>IFERROR(INDEX('設定・凡例'!$H$20:$H$24,MATCH(D145,'設定・凡例'!$G$20:$G$24,0)),"")</f>
        <v/>
      </c>
      <c r="W145" s="26">
        <f>IF(E145="","",IF(ISNUMBER(V145),IF(E145&gt;=V145,"○","×"),"-"))</f>
        <v/>
      </c>
    </row>
    <row r="146">
      <c r="A146" s="25" t="n"/>
      <c r="B146" s="26">
        <f>IF(A146="","",TEXT(A146,"YYYY-MM"))</f>
        <v/>
      </c>
      <c r="C146" s="27" t="n"/>
      <c r="D146" s="27" t="n"/>
      <c r="E146" s="9" t="n"/>
      <c r="F146" s="9" t="n"/>
      <c r="G146" s="9" t="n"/>
      <c r="H146" s="28" t="n"/>
      <c r="I146" s="28" t="n"/>
      <c r="J146" s="9" t="n"/>
      <c r="K146" s="9" t="n"/>
      <c r="L146" s="9" t="n"/>
      <c r="M146" s="9" t="n"/>
      <c r="N146" s="9" t="n"/>
      <c r="O146" s="7">
        <f>IFERROR(F146/E146,"")</f>
        <v/>
      </c>
      <c r="P146" s="7">
        <f>IFERROR(G146/E146,"")</f>
        <v/>
      </c>
      <c r="Q146" s="7">
        <f>IFERROR(H146/I146,"")</f>
        <v/>
      </c>
      <c r="R146" s="7">
        <f>IFERROR(J146/E146,"")</f>
        <v/>
      </c>
      <c r="S146" s="7">
        <f>IFERROR(K146/E146,"")</f>
        <v/>
      </c>
      <c r="T146" s="7">
        <f>IFERROR(M146/E146,"")</f>
        <v/>
      </c>
      <c r="U146" s="7">
        <f>IFERROR(N146/E146,"")</f>
        <v/>
      </c>
      <c r="V146" s="6">
        <f>IFERROR(INDEX('設定・凡例'!$H$20:$H$24,MATCH(D146,'設定・凡例'!$G$20:$G$24,0)),"")</f>
        <v/>
      </c>
      <c r="W146" s="26">
        <f>IF(E146="","",IF(ISNUMBER(V146),IF(E146&gt;=V146,"○","×"),"-"))</f>
        <v/>
      </c>
    </row>
    <row r="147">
      <c r="A147" s="25" t="n"/>
      <c r="B147" s="26">
        <f>IF(A147="","",TEXT(A147,"YYYY-MM"))</f>
        <v/>
      </c>
      <c r="C147" s="27" t="n"/>
      <c r="D147" s="27" t="n"/>
      <c r="E147" s="9" t="n"/>
      <c r="F147" s="9" t="n"/>
      <c r="G147" s="9" t="n"/>
      <c r="H147" s="28" t="n"/>
      <c r="I147" s="28" t="n"/>
      <c r="J147" s="9" t="n"/>
      <c r="K147" s="9" t="n"/>
      <c r="L147" s="9" t="n"/>
      <c r="M147" s="9" t="n"/>
      <c r="N147" s="9" t="n"/>
      <c r="O147" s="7">
        <f>IFERROR(F147/E147,"")</f>
        <v/>
      </c>
      <c r="P147" s="7">
        <f>IFERROR(G147/E147,"")</f>
        <v/>
      </c>
      <c r="Q147" s="7">
        <f>IFERROR(H147/I147,"")</f>
        <v/>
      </c>
      <c r="R147" s="7">
        <f>IFERROR(J147/E147,"")</f>
        <v/>
      </c>
      <c r="S147" s="7">
        <f>IFERROR(K147/E147,"")</f>
        <v/>
      </c>
      <c r="T147" s="7">
        <f>IFERROR(M147/E147,"")</f>
        <v/>
      </c>
      <c r="U147" s="7">
        <f>IFERROR(N147/E147,"")</f>
        <v/>
      </c>
      <c r="V147" s="6">
        <f>IFERROR(INDEX('設定・凡例'!$H$20:$H$24,MATCH(D147,'設定・凡例'!$G$20:$G$24,0)),"")</f>
        <v/>
      </c>
      <c r="W147" s="26">
        <f>IF(E147="","",IF(ISNUMBER(V147),IF(E147&gt;=V147,"○","×"),"-"))</f>
        <v/>
      </c>
    </row>
    <row r="148">
      <c r="A148" s="25" t="n"/>
      <c r="B148" s="26">
        <f>IF(A148="","",TEXT(A148,"YYYY-MM"))</f>
        <v/>
      </c>
      <c r="C148" s="27" t="n"/>
      <c r="D148" s="27" t="n"/>
      <c r="E148" s="9" t="n"/>
      <c r="F148" s="9" t="n"/>
      <c r="G148" s="9" t="n"/>
      <c r="H148" s="28" t="n"/>
      <c r="I148" s="28" t="n"/>
      <c r="J148" s="9" t="n"/>
      <c r="K148" s="9" t="n"/>
      <c r="L148" s="9" t="n"/>
      <c r="M148" s="9" t="n"/>
      <c r="N148" s="9" t="n"/>
      <c r="O148" s="7">
        <f>IFERROR(F148/E148,"")</f>
        <v/>
      </c>
      <c r="P148" s="7">
        <f>IFERROR(G148/E148,"")</f>
        <v/>
      </c>
      <c r="Q148" s="7">
        <f>IFERROR(H148/I148,"")</f>
        <v/>
      </c>
      <c r="R148" s="7">
        <f>IFERROR(J148/E148,"")</f>
        <v/>
      </c>
      <c r="S148" s="7">
        <f>IFERROR(K148/E148,"")</f>
        <v/>
      </c>
      <c r="T148" s="7">
        <f>IFERROR(M148/E148,"")</f>
        <v/>
      </c>
      <c r="U148" s="7">
        <f>IFERROR(N148/E148,"")</f>
        <v/>
      </c>
      <c r="V148" s="6">
        <f>IFERROR(INDEX('設定・凡例'!$H$20:$H$24,MATCH(D148,'設定・凡例'!$G$20:$G$24,0)),"")</f>
        <v/>
      </c>
      <c r="W148" s="26">
        <f>IF(E148="","",IF(ISNUMBER(V148),IF(E148&gt;=V148,"○","×"),"-"))</f>
        <v/>
      </c>
    </row>
    <row r="149">
      <c r="A149" s="25" t="n"/>
      <c r="B149" s="26">
        <f>IF(A149="","",TEXT(A149,"YYYY-MM"))</f>
        <v/>
      </c>
      <c r="C149" s="27" t="n"/>
      <c r="D149" s="27" t="n"/>
      <c r="E149" s="9" t="n"/>
      <c r="F149" s="9" t="n"/>
      <c r="G149" s="9" t="n"/>
      <c r="H149" s="28" t="n"/>
      <c r="I149" s="28" t="n"/>
      <c r="J149" s="9" t="n"/>
      <c r="K149" s="9" t="n"/>
      <c r="L149" s="9" t="n"/>
      <c r="M149" s="9" t="n"/>
      <c r="N149" s="9" t="n"/>
      <c r="O149" s="7">
        <f>IFERROR(F149/E149,"")</f>
        <v/>
      </c>
      <c r="P149" s="7">
        <f>IFERROR(G149/E149,"")</f>
        <v/>
      </c>
      <c r="Q149" s="7">
        <f>IFERROR(H149/I149,"")</f>
        <v/>
      </c>
      <c r="R149" s="7">
        <f>IFERROR(J149/E149,"")</f>
        <v/>
      </c>
      <c r="S149" s="7">
        <f>IFERROR(K149/E149,"")</f>
        <v/>
      </c>
      <c r="T149" s="7">
        <f>IFERROR(M149/E149,"")</f>
        <v/>
      </c>
      <c r="U149" s="7">
        <f>IFERROR(N149/E149,"")</f>
        <v/>
      </c>
      <c r="V149" s="6">
        <f>IFERROR(INDEX('設定・凡例'!$H$20:$H$24,MATCH(D149,'設定・凡例'!$G$20:$G$24,0)),"")</f>
        <v/>
      </c>
      <c r="W149" s="26">
        <f>IF(E149="","",IF(ISNUMBER(V149),IF(E149&gt;=V149,"○","×"),"-"))</f>
        <v/>
      </c>
    </row>
    <row r="150">
      <c r="A150" s="25" t="n"/>
      <c r="B150" s="26">
        <f>IF(A150="","",TEXT(A150,"YYYY-MM"))</f>
        <v/>
      </c>
      <c r="C150" s="27" t="n"/>
      <c r="D150" s="27" t="n"/>
      <c r="E150" s="9" t="n"/>
      <c r="F150" s="9" t="n"/>
      <c r="G150" s="9" t="n"/>
      <c r="H150" s="28" t="n"/>
      <c r="I150" s="28" t="n"/>
      <c r="J150" s="9" t="n"/>
      <c r="K150" s="9" t="n"/>
      <c r="L150" s="9" t="n"/>
      <c r="M150" s="9" t="n"/>
      <c r="N150" s="9" t="n"/>
      <c r="O150" s="7">
        <f>IFERROR(F150/E150,"")</f>
        <v/>
      </c>
      <c r="P150" s="7">
        <f>IFERROR(G150/E150,"")</f>
        <v/>
      </c>
      <c r="Q150" s="7">
        <f>IFERROR(H150/I150,"")</f>
        <v/>
      </c>
      <c r="R150" s="7">
        <f>IFERROR(J150/E150,"")</f>
        <v/>
      </c>
      <c r="S150" s="7">
        <f>IFERROR(K150/E150,"")</f>
        <v/>
      </c>
      <c r="T150" s="7">
        <f>IFERROR(M150/E150,"")</f>
        <v/>
      </c>
      <c r="U150" s="7">
        <f>IFERROR(N150/E150,"")</f>
        <v/>
      </c>
      <c r="V150" s="6">
        <f>IFERROR(INDEX('設定・凡例'!$H$20:$H$24,MATCH(D150,'設定・凡例'!$G$20:$G$24,0)),"")</f>
        <v/>
      </c>
      <c r="W150" s="26">
        <f>IF(E150="","",IF(ISNUMBER(V150),IF(E150&gt;=V150,"○","×"),"-"))</f>
        <v/>
      </c>
    </row>
    <row r="151">
      <c r="A151" s="25" t="n"/>
      <c r="B151" s="26">
        <f>IF(A151="","",TEXT(A151,"YYYY-MM"))</f>
        <v/>
      </c>
      <c r="C151" s="27" t="n"/>
      <c r="D151" s="27" t="n"/>
      <c r="E151" s="9" t="n"/>
      <c r="F151" s="9" t="n"/>
      <c r="G151" s="9" t="n"/>
      <c r="H151" s="28" t="n"/>
      <c r="I151" s="28" t="n"/>
      <c r="J151" s="9" t="n"/>
      <c r="K151" s="9" t="n"/>
      <c r="L151" s="9" t="n"/>
      <c r="M151" s="9" t="n"/>
      <c r="N151" s="9" t="n"/>
      <c r="O151" s="7">
        <f>IFERROR(F151/E151,"")</f>
        <v/>
      </c>
      <c r="P151" s="7">
        <f>IFERROR(G151/E151,"")</f>
        <v/>
      </c>
      <c r="Q151" s="7">
        <f>IFERROR(H151/I151,"")</f>
        <v/>
      </c>
      <c r="R151" s="7">
        <f>IFERROR(J151/E151,"")</f>
        <v/>
      </c>
      <c r="S151" s="7">
        <f>IFERROR(K151/E151,"")</f>
        <v/>
      </c>
      <c r="T151" s="7">
        <f>IFERROR(M151/E151,"")</f>
        <v/>
      </c>
      <c r="U151" s="7">
        <f>IFERROR(N151/E151,"")</f>
        <v/>
      </c>
      <c r="V151" s="6">
        <f>IFERROR(INDEX('設定・凡例'!$H$20:$H$24,MATCH(D151,'設定・凡例'!$G$20:$G$24,0)),"")</f>
        <v/>
      </c>
      <c r="W151" s="26">
        <f>IF(E151="","",IF(ISNUMBER(V151),IF(E151&gt;=V151,"○","×"),"-"))</f>
        <v/>
      </c>
    </row>
    <row r="152">
      <c r="A152" s="25" t="n"/>
      <c r="B152" s="26">
        <f>IF(A152="","",TEXT(A152,"YYYY-MM"))</f>
        <v/>
      </c>
      <c r="C152" s="27" t="n"/>
      <c r="D152" s="27" t="n"/>
      <c r="E152" s="9" t="n"/>
      <c r="F152" s="9" t="n"/>
      <c r="G152" s="9" t="n"/>
      <c r="H152" s="28" t="n"/>
      <c r="I152" s="28" t="n"/>
      <c r="J152" s="9" t="n"/>
      <c r="K152" s="9" t="n"/>
      <c r="L152" s="9" t="n"/>
      <c r="M152" s="9" t="n"/>
      <c r="N152" s="9" t="n"/>
      <c r="O152" s="7">
        <f>IFERROR(F152/E152,"")</f>
        <v/>
      </c>
      <c r="P152" s="7">
        <f>IFERROR(G152/E152,"")</f>
        <v/>
      </c>
      <c r="Q152" s="7">
        <f>IFERROR(H152/I152,"")</f>
        <v/>
      </c>
      <c r="R152" s="7">
        <f>IFERROR(J152/E152,"")</f>
        <v/>
      </c>
      <c r="S152" s="7">
        <f>IFERROR(K152/E152,"")</f>
        <v/>
      </c>
      <c r="T152" s="7">
        <f>IFERROR(M152/E152,"")</f>
        <v/>
      </c>
      <c r="U152" s="7">
        <f>IFERROR(N152/E152,"")</f>
        <v/>
      </c>
      <c r="V152" s="6">
        <f>IFERROR(INDEX('設定・凡例'!$H$20:$H$24,MATCH(D152,'設定・凡例'!$G$20:$G$24,0)),"")</f>
        <v/>
      </c>
      <c r="W152" s="26">
        <f>IF(E152="","",IF(ISNUMBER(V152),IF(E152&gt;=V152,"○","×"),"-"))</f>
        <v/>
      </c>
    </row>
    <row r="153">
      <c r="A153" s="25" t="n"/>
      <c r="B153" s="26">
        <f>IF(A153="","",TEXT(A153,"YYYY-MM"))</f>
        <v/>
      </c>
      <c r="C153" s="27" t="n"/>
      <c r="D153" s="27" t="n"/>
      <c r="E153" s="9" t="n"/>
      <c r="F153" s="9" t="n"/>
      <c r="G153" s="9" t="n"/>
      <c r="H153" s="28" t="n"/>
      <c r="I153" s="28" t="n"/>
      <c r="J153" s="9" t="n"/>
      <c r="K153" s="9" t="n"/>
      <c r="L153" s="9" t="n"/>
      <c r="M153" s="9" t="n"/>
      <c r="N153" s="9" t="n"/>
      <c r="O153" s="7">
        <f>IFERROR(F153/E153,"")</f>
        <v/>
      </c>
      <c r="P153" s="7">
        <f>IFERROR(G153/E153,"")</f>
        <v/>
      </c>
      <c r="Q153" s="7">
        <f>IFERROR(H153/I153,"")</f>
        <v/>
      </c>
      <c r="R153" s="7">
        <f>IFERROR(J153/E153,"")</f>
        <v/>
      </c>
      <c r="S153" s="7">
        <f>IFERROR(K153/E153,"")</f>
        <v/>
      </c>
      <c r="T153" s="7">
        <f>IFERROR(M153/E153,"")</f>
        <v/>
      </c>
      <c r="U153" s="7">
        <f>IFERROR(N153/E153,"")</f>
        <v/>
      </c>
      <c r="V153" s="6">
        <f>IFERROR(INDEX('設定・凡例'!$H$20:$H$24,MATCH(D153,'設定・凡例'!$G$20:$G$24,0)),"")</f>
        <v/>
      </c>
      <c r="W153" s="26">
        <f>IF(E153="","",IF(ISNUMBER(V153),IF(E153&gt;=V153,"○","×"),"-"))</f>
        <v/>
      </c>
    </row>
    <row r="154">
      <c r="A154" s="25" t="n"/>
      <c r="B154" s="26">
        <f>IF(A154="","",TEXT(A154,"YYYY-MM"))</f>
        <v/>
      </c>
      <c r="C154" s="27" t="n"/>
      <c r="D154" s="27" t="n"/>
      <c r="E154" s="9" t="n"/>
      <c r="F154" s="9" t="n"/>
      <c r="G154" s="9" t="n"/>
      <c r="H154" s="28" t="n"/>
      <c r="I154" s="28" t="n"/>
      <c r="J154" s="9" t="n"/>
      <c r="K154" s="9" t="n"/>
      <c r="L154" s="9" t="n"/>
      <c r="M154" s="9" t="n"/>
      <c r="N154" s="9" t="n"/>
      <c r="O154" s="7">
        <f>IFERROR(F154/E154,"")</f>
        <v/>
      </c>
      <c r="P154" s="7">
        <f>IFERROR(G154/E154,"")</f>
        <v/>
      </c>
      <c r="Q154" s="7">
        <f>IFERROR(H154/I154,"")</f>
        <v/>
      </c>
      <c r="R154" s="7">
        <f>IFERROR(J154/E154,"")</f>
        <v/>
      </c>
      <c r="S154" s="7">
        <f>IFERROR(K154/E154,"")</f>
        <v/>
      </c>
      <c r="T154" s="7">
        <f>IFERROR(M154/E154,"")</f>
        <v/>
      </c>
      <c r="U154" s="7">
        <f>IFERROR(N154/E154,"")</f>
        <v/>
      </c>
      <c r="V154" s="6">
        <f>IFERROR(INDEX('設定・凡例'!$H$20:$H$24,MATCH(D154,'設定・凡例'!$G$20:$G$24,0)),"")</f>
        <v/>
      </c>
      <c r="W154" s="26">
        <f>IF(E154="","",IF(ISNUMBER(V154),IF(E154&gt;=V154,"○","×"),"-"))</f>
        <v/>
      </c>
    </row>
    <row r="155">
      <c r="A155" s="25" t="n"/>
      <c r="B155" s="26">
        <f>IF(A155="","",TEXT(A155,"YYYY-MM"))</f>
        <v/>
      </c>
      <c r="C155" s="27" t="n"/>
      <c r="D155" s="27" t="n"/>
      <c r="E155" s="9" t="n"/>
      <c r="F155" s="9" t="n"/>
      <c r="G155" s="9" t="n"/>
      <c r="H155" s="28" t="n"/>
      <c r="I155" s="28" t="n"/>
      <c r="J155" s="9" t="n"/>
      <c r="K155" s="9" t="n"/>
      <c r="L155" s="9" t="n"/>
      <c r="M155" s="9" t="n"/>
      <c r="N155" s="9" t="n"/>
      <c r="O155" s="7">
        <f>IFERROR(F155/E155,"")</f>
        <v/>
      </c>
      <c r="P155" s="7">
        <f>IFERROR(G155/E155,"")</f>
        <v/>
      </c>
      <c r="Q155" s="7">
        <f>IFERROR(H155/I155,"")</f>
        <v/>
      </c>
      <c r="R155" s="7">
        <f>IFERROR(J155/E155,"")</f>
        <v/>
      </c>
      <c r="S155" s="7">
        <f>IFERROR(K155/E155,"")</f>
        <v/>
      </c>
      <c r="T155" s="7">
        <f>IFERROR(M155/E155,"")</f>
        <v/>
      </c>
      <c r="U155" s="7">
        <f>IFERROR(N155/E155,"")</f>
        <v/>
      </c>
      <c r="V155" s="6">
        <f>IFERROR(INDEX('設定・凡例'!$H$20:$H$24,MATCH(D155,'設定・凡例'!$G$20:$G$24,0)),"")</f>
        <v/>
      </c>
      <c r="W155" s="26">
        <f>IF(E155="","",IF(ISNUMBER(V155),IF(E155&gt;=V155,"○","×"),"-"))</f>
        <v/>
      </c>
    </row>
    <row r="156">
      <c r="A156" s="25" t="n"/>
      <c r="B156" s="26">
        <f>IF(A156="","",TEXT(A156,"YYYY-MM"))</f>
        <v/>
      </c>
      <c r="C156" s="27" t="n"/>
      <c r="D156" s="27" t="n"/>
      <c r="E156" s="9" t="n"/>
      <c r="F156" s="9" t="n"/>
      <c r="G156" s="9" t="n"/>
      <c r="H156" s="28" t="n"/>
      <c r="I156" s="28" t="n"/>
      <c r="J156" s="9" t="n"/>
      <c r="K156" s="9" t="n"/>
      <c r="L156" s="9" t="n"/>
      <c r="M156" s="9" t="n"/>
      <c r="N156" s="9" t="n"/>
      <c r="O156" s="7">
        <f>IFERROR(F156/E156,"")</f>
        <v/>
      </c>
      <c r="P156" s="7">
        <f>IFERROR(G156/E156,"")</f>
        <v/>
      </c>
      <c r="Q156" s="7">
        <f>IFERROR(H156/I156,"")</f>
        <v/>
      </c>
      <c r="R156" s="7">
        <f>IFERROR(J156/E156,"")</f>
        <v/>
      </c>
      <c r="S156" s="7">
        <f>IFERROR(K156/E156,"")</f>
        <v/>
      </c>
      <c r="T156" s="7">
        <f>IFERROR(M156/E156,"")</f>
        <v/>
      </c>
      <c r="U156" s="7">
        <f>IFERROR(N156/E156,"")</f>
        <v/>
      </c>
      <c r="V156" s="6">
        <f>IFERROR(INDEX('設定・凡例'!$H$20:$H$24,MATCH(D156,'設定・凡例'!$G$20:$G$24,0)),"")</f>
        <v/>
      </c>
      <c r="W156" s="26">
        <f>IF(E156="","",IF(ISNUMBER(V156),IF(E156&gt;=V156,"○","×"),"-"))</f>
        <v/>
      </c>
    </row>
    <row r="157">
      <c r="A157" s="25" t="n"/>
      <c r="B157" s="26">
        <f>IF(A157="","",TEXT(A157,"YYYY-MM"))</f>
        <v/>
      </c>
      <c r="C157" s="27" t="n"/>
      <c r="D157" s="27" t="n"/>
      <c r="E157" s="9" t="n"/>
      <c r="F157" s="9" t="n"/>
      <c r="G157" s="9" t="n"/>
      <c r="H157" s="28" t="n"/>
      <c r="I157" s="28" t="n"/>
      <c r="J157" s="9" t="n"/>
      <c r="K157" s="9" t="n"/>
      <c r="L157" s="9" t="n"/>
      <c r="M157" s="9" t="n"/>
      <c r="N157" s="9" t="n"/>
      <c r="O157" s="7">
        <f>IFERROR(F157/E157,"")</f>
        <v/>
      </c>
      <c r="P157" s="7">
        <f>IFERROR(G157/E157,"")</f>
        <v/>
      </c>
      <c r="Q157" s="7">
        <f>IFERROR(H157/I157,"")</f>
        <v/>
      </c>
      <c r="R157" s="7">
        <f>IFERROR(J157/E157,"")</f>
        <v/>
      </c>
      <c r="S157" s="7">
        <f>IFERROR(K157/E157,"")</f>
        <v/>
      </c>
      <c r="T157" s="7">
        <f>IFERROR(M157/E157,"")</f>
        <v/>
      </c>
      <c r="U157" s="7">
        <f>IFERROR(N157/E157,"")</f>
        <v/>
      </c>
      <c r="V157" s="6">
        <f>IFERROR(INDEX('設定・凡例'!$H$20:$H$24,MATCH(D157,'設定・凡例'!$G$20:$G$24,0)),"")</f>
        <v/>
      </c>
      <c r="W157" s="26">
        <f>IF(E157="","",IF(ISNUMBER(V157),IF(E157&gt;=V157,"○","×"),"-"))</f>
        <v/>
      </c>
    </row>
    <row r="158">
      <c r="A158" s="25" t="n"/>
      <c r="B158" s="26">
        <f>IF(A158="","",TEXT(A158,"YYYY-MM"))</f>
        <v/>
      </c>
      <c r="C158" s="27" t="n"/>
      <c r="D158" s="27" t="n"/>
      <c r="E158" s="9" t="n"/>
      <c r="F158" s="9" t="n"/>
      <c r="G158" s="9" t="n"/>
      <c r="H158" s="28" t="n"/>
      <c r="I158" s="28" t="n"/>
      <c r="J158" s="9" t="n"/>
      <c r="K158" s="9" t="n"/>
      <c r="L158" s="9" t="n"/>
      <c r="M158" s="9" t="n"/>
      <c r="N158" s="9" t="n"/>
      <c r="O158" s="7">
        <f>IFERROR(F158/E158,"")</f>
        <v/>
      </c>
      <c r="P158" s="7">
        <f>IFERROR(G158/E158,"")</f>
        <v/>
      </c>
      <c r="Q158" s="7">
        <f>IFERROR(H158/I158,"")</f>
        <v/>
      </c>
      <c r="R158" s="7">
        <f>IFERROR(J158/E158,"")</f>
        <v/>
      </c>
      <c r="S158" s="7">
        <f>IFERROR(K158/E158,"")</f>
        <v/>
      </c>
      <c r="T158" s="7">
        <f>IFERROR(M158/E158,"")</f>
        <v/>
      </c>
      <c r="U158" s="7">
        <f>IFERROR(N158/E158,"")</f>
        <v/>
      </c>
      <c r="V158" s="6">
        <f>IFERROR(INDEX('設定・凡例'!$H$20:$H$24,MATCH(D158,'設定・凡例'!$G$20:$G$24,0)),"")</f>
        <v/>
      </c>
      <c r="W158" s="26">
        <f>IF(E158="","",IF(ISNUMBER(V158),IF(E158&gt;=V158,"○","×"),"-"))</f>
        <v/>
      </c>
    </row>
    <row r="159">
      <c r="A159" s="25" t="n"/>
      <c r="B159" s="26">
        <f>IF(A159="","",TEXT(A159,"YYYY-MM"))</f>
        <v/>
      </c>
      <c r="C159" s="27" t="n"/>
      <c r="D159" s="27" t="n"/>
      <c r="E159" s="9" t="n"/>
      <c r="F159" s="9" t="n"/>
      <c r="G159" s="9" t="n"/>
      <c r="H159" s="28" t="n"/>
      <c r="I159" s="28" t="n"/>
      <c r="J159" s="9" t="n"/>
      <c r="K159" s="9" t="n"/>
      <c r="L159" s="9" t="n"/>
      <c r="M159" s="9" t="n"/>
      <c r="N159" s="9" t="n"/>
      <c r="O159" s="7">
        <f>IFERROR(F159/E159,"")</f>
        <v/>
      </c>
      <c r="P159" s="7">
        <f>IFERROR(G159/E159,"")</f>
        <v/>
      </c>
      <c r="Q159" s="7">
        <f>IFERROR(H159/I159,"")</f>
        <v/>
      </c>
      <c r="R159" s="7">
        <f>IFERROR(J159/E159,"")</f>
        <v/>
      </c>
      <c r="S159" s="7">
        <f>IFERROR(K159/E159,"")</f>
        <v/>
      </c>
      <c r="T159" s="7">
        <f>IFERROR(M159/E159,"")</f>
        <v/>
      </c>
      <c r="U159" s="7">
        <f>IFERROR(N159/E159,"")</f>
        <v/>
      </c>
      <c r="V159" s="6">
        <f>IFERROR(INDEX('設定・凡例'!$H$20:$H$24,MATCH(D159,'設定・凡例'!$G$20:$G$24,0)),"")</f>
        <v/>
      </c>
      <c r="W159" s="26">
        <f>IF(E159="","",IF(ISNUMBER(V159),IF(E159&gt;=V159,"○","×"),"-"))</f>
        <v/>
      </c>
    </row>
    <row r="160">
      <c r="A160" s="25" t="n"/>
      <c r="B160" s="26">
        <f>IF(A160="","",TEXT(A160,"YYYY-MM"))</f>
        <v/>
      </c>
      <c r="C160" s="27" t="n"/>
      <c r="D160" s="27" t="n"/>
      <c r="E160" s="9" t="n"/>
      <c r="F160" s="9" t="n"/>
      <c r="G160" s="9" t="n"/>
      <c r="H160" s="28" t="n"/>
      <c r="I160" s="28" t="n"/>
      <c r="J160" s="9" t="n"/>
      <c r="K160" s="9" t="n"/>
      <c r="L160" s="9" t="n"/>
      <c r="M160" s="9" t="n"/>
      <c r="N160" s="9" t="n"/>
      <c r="O160" s="7">
        <f>IFERROR(F160/E160,"")</f>
        <v/>
      </c>
      <c r="P160" s="7">
        <f>IFERROR(G160/E160,"")</f>
        <v/>
      </c>
      <c r="Q160" s="7">
        <f>IFERROR(H160/I160,"")</f>
        <v/>
      </c>
      <c r="R160" s="7">
        <f>IFERROR(J160/E160,"")</f>
        <v/>
      </c>
      <c r="S160" s="7">
        <f>IFERROR(K160/E160,"")</f>
        <v/>
      </c>
      <c r="T160" s="7">
        <f>IFERROR(M160/E160,"")</f>
        <v/>
      </c>
      <c r="U160" s="7">
        <f>IFERROR(N160/E160,"")</f>
        <v/>
      </c>
      <c r="V160" s="6">
        <f>IFERROR(INDEX('設定・凡例'!$H$20:$H$24,MATCH(D160,'設定・凡例'!$G$20:$G$24,0)),"")</f>
        <v/>
      </c>
      <c r="W160" s="26">
        <f>IF(E160="","",IF(ISNUMBER(V160),IF(E160&gt;=V160,"○","×"),"-"))</f>
        <v/>
      </c>
    </row>
    <row r="161">
      <c r="A161" s="25" t="n"/>
      <c r="B161" s="26">
        <f>IF(A161="","",TEXT(A161,"YYYY-MM"))</f>
        <v/>
      </c>
      <c r="C161" s="27" t="n"/>
      <c r="D161" s="27" t="n"/>
      <c r="E161" s="9" t="n"/>
      <c r="F161" s="9" t="n"/>
      <c r="G161" s="9" t="n"/>
      <c r="H161" s="28" t="n"/>
      <c r="I161" s="28" t="n"/>
      <c r="J161" s="9" t="n"/>
      <c r="K161" s="9" t="n"/>
      <c r="L161" s="9" t="n"/>
      <c r="M161" s="9" t="n"/>
      <c r="N161" s="9" t="n"/>
      <c r="O161" s="7">
        <f>IFERROR(F161/E161,"")</f>
        <v/>
      </c>
      <c r="P161" s="7">
        <f>IFERROR(G161/E161,"")</f>
        <v/>
      </c>
      <c r="Q161" s="7">
        <f>IFERROR(H161/I161,"")</f>
        <v/>
      </c>
      <c r="R161" s="7">
        <f>IFERROR(J161/E161,"")</f>
        <v/>
      </c>
      <c r="S161" s="7">
        <f>IFERROR(K161/E161,"")</f>
        <v/>
      </c>
      <c r="T161" s="7">
        <f>IFERROR(M161/E161,"")</f>
        <v/>
      </c>
      <c r="U161" s="7">
        <f>IFERROR(N161/E161,"")</f>
        <v/>
      </c>
      <c r="V161" s="6">
        <f>IFERROR(INDEX('設定・凡例'!$H$20:$H$24,MATCH(D161,'設定・凡例'!$G$20:$G$24,0)),"")</f>
        <v/>
      </c>
      <c r="W161" s="26">
        <f>IF(E161="","",IF(ISNUMBER(V161),IF(E161&gt;=V161,"○","×"),"-"))</f>
        <v/>
      </c>
    </row>
    <row r="162">
      <c r="A162" s="25" t="n"/>
      <c r="B162" s="26">
        <f>IF(A162="","",TEXT(A162,"YYYY-MM"))</f>
        <v/>
      </c>
      <c r="C162" s="27" t="n"/>
      <c r="D162" s="27" t="n"/>
      <c r="E162" s="9" t="n"/>
      <c r="F162" s="9" t="n"/>
      <c r="G162" s="9" t="n"/>
      <c r="H162" s="28" t="n"/>
      <c r="I162" s="28" t="n"/>
      <c r="J162" s="9" t="n"/>
      <c r="K162" s="9" t="n"/>
      <c r="L162" s="9" t="n"/>
      <c r="M162" s="9" t="n"/>
      <c r="N162" s="9" t="n"/>
      <c r="O162" s="7">
        <f>IFERROR(F162/E162,"")</f>
        <v/>
      </c>
      <c r="P162" s="7">
        <f>IFERROR(G162/E162,"")</f>
        <v/>
      </c>
      <c r="Q162" s="7">
        <f>IFERROR(H162/I162,"")</f>
        <v/>
      </c>
      <c r="R162" s="7">
        <f>IFERROR(J162/E162,"")</f>
        <v/>
      </c>
      <c r="S162" s="7">
        <f>IFERROR(K162/E162,"")</f>
        <v/>
      </c>
      <c r="T162" s="7">
        <f>IFERROR(M162/E162,"")</f>
        <v/>
      </c>
      <c r="U162" s="7">
        <f>IFERROR(N162/E162,"")</f>
        <v/>
      </c>
      <c r="V162" s="6">
        <f>IFERROR(INDEX('設定・凡例'!$H$20:$H$24,MATCH(D162,'設定・凡例'!$G$20:$G$24,0)),"")</f>
        <v/>
      </c>
      <c r="W162" s="26">
        <f>IF(E162="","",IF(ISNUMBER(V162),IF(E162&gt;=V162,"○","×"),"-"))</f>
        <v/>
      </c>
    </row>
    <row r="163">
      <c r="A163" s="25" t="n"/>
      <c r="B163" s="26">
        <f>IF(A163="","",TEXT(A163,"YYYY-MM"))</f>
        <v/>
      </c>
      <c r="C163" s="27" t="n"/>
      <c r="D163" s="27" t="n"/>
      <c r="E163" s="9" t="n"/>
      <c r="F163" s="9" t="n"/>
      <c r="G163" s="9" t="n"/>
      <c r="H163" s="28" t="n"/>
      <c r="I163" s="28" t="n"/>
      <c r="J163" s="9" t="n"/>
      <c r="K163" s="9" t="n"/>
      <c r="L163" s="9" t="n"/>
      <c r="M163" s="9" t="n"/>
      <c r="N163" s="9" t="n"/>
      <c r="O163" s="7">
        <f>IFERROR(F163/E163,"")</f>
        <v/>
      </c>
      <c r="P163" s="7">
        <f>IFERROR(G163/E163,"")</f>
        <v/>
      </c>
      <c r="Q163" s="7">
        <f>IFERROR(H163/I163,"")</f>
        <v/>
      </c>
      <c r="R163" s="7">
        <f>IFERROR(J163/E163,"")</f>
        <v/>
      </c>
      <c r="S163" s="7">
        <f>IFERROR(K163/E163,"")</f>
        <v/>
      </c>
      <c r="T163" s="7">
        <f>IFERROR(M163/E163,"")</f>
        <v/>
      </c>
      <c r="U163" s="7">
        <f>IFERROR(N163/E163,"")</f>
        <v/>
      </c>
      <c r="V163" s="6">
        <f>IFERROR(INDEX('設定・凡例'!$H$20:$H$24,MATCH(D163,'設定・凡例'!$G$20:$G$24,0)),"")</f>
        <v/>
      </c>
      <c r="W163" s="26">
        <f>IF(E163="","",IF(ISNUMBER(V163),IF(E163&gt;=V163,"○","×"),"-"))</f>
        <v/>
      </c>
    </row>
    <row r="164">
      <c r="A164" s="25" t="n"/>
      <c r="B164" s="26">
        <f>IF(A164="","",TEXT(A164,"YYYY-MM"))</f>
        <v/>
      </c>
      <c r="C164" s="27" t="n"/>
      <c r="D164" s="27" t="n"/>
      <c r="E164" s="9" t="n"/>
      <c r="F164" s="9" t="n"/>
      <c r="G164" s="9" t="n"/>
      <c r="H164" s="28" t="n"/>
      <c r="I164" s="28" t="n"/>
      <c r="J164" s="9" t="n"/>
      <c r="K164" s="9" t="n"/>
      <c r="L164" s="9" t="n"/>
      <c r="M164" s="9" t="n"/>
      <c r="N164" s="9" t="n"/>
      <c r="O164" s="7">
        <f>IFERROR(F164/E164,"")</f>
        <v/>
      </c>
      <c r="P164" s="7">
        <f>IFERROR(G164/E164,"")</f>
        <v/>
      </c>
      <c r="Q164" s="7">
        <f>IFERROR(H164/I164,"")</f>
        <v/>
      </c>
      <c r="R164" s="7">
        <f>IFERROR(J164/E164,"")</f>
        <v/>
      </c>
      <c r="S164" s="7">
        <f>IFERROR(K164/E164,"")</f>
        <v/>
      </c>
      <c r="T164" s="7">
        <f>IFERROR(M164/E164,"")</f>
        <v/>
      </c>
      <c r="U164" s="7">
        <f>IFERROR(N164/E164,"")</f>
        <v/>
      </c>
      <c r="V164" s="6">
        <f>IFERROR(INDEX('設定・凡例'!$H$20:$H$24,MATCH(D164,'設定・凡例'!$G$20:$G$24,0)),"")</f>
        <v/>
      </c>
      <c r="W164" s="26">
        <f>IF(E164="","",IF(ISNUMBER(V164),IF(E164&gt;=V164,"○","×"),"-"))</f>
        <v/>
      </c>
    </row>
    <row r="165">
      <c r="A165" s="25" t="n"/>
      <c r="B165" s="26">
        <f>IF(A165="","",TEXT(A165,"YYYY-MM"))</f>
        <v/>
      </c>
      <c r="C165" s="27" t="n"/>
      <c r="D165" s="27" t="n"/>
      <c r="E165" s="9" t="n"/>
      <c r="F165" s="9" t="n"/>
      <c r="G165" s="9" t="n"/>
      <c r="H165" s="28" t="n"/>
      <c r="I165" s="28" t="n"/>
      <c r="J165" s="9" t="n"/>
      <c r="K165" s="9" t="n"/>
      <c r="L165" s="9" t="n"/>
      <c r="M165" s="9" t="n"/>
      <c r="N165" s="9" t="n"/>
      <c r="O165" s="7">
        <f>IFERROR(F165/E165,"")</f>
        <v/>
      </c>
      <c r="P165" s="7">
        <f>IFERROR(G165/E165,"")</f>
        <v/>
      </c>
      <c r="Q165" s="7">
        <f>IFERROR(H165/I165,"")</f>
        <v/>
      </c>
      <c r="R165" s="7">
        <f>IFERROR(J165/E165,"")</f>
        <v/>
      </c>
      <c r="S165" s="7">
        <f>IFERROR(K165/E165,"")</f>
        <v/>
      </c>
      <c r="T165" s="7">
        <f>IFERROR(M165/E165,"")</f>
        <v/>
      </c>
      <c r="U165" s="7">
        <f>IFERROR(N165/E165,"")</f>
        <v/>
      </c>
      <c r="V165" s="6">
        <f>IFERROR(INDEX('設定・凡例'!$H$20:$H$24,MATCH(D165,'設定・凡例'!$G$20:$G$24,0)),"")</f>
        <v/>
      </c>
      <c r="W165" s="26">
        <f>IF(E165="","",IF(ISNUMBER(V165),IF(E165&gt;=V165,"○","×"),"-"))</f>
        <v/>
      </c>
    </row>
    <row r="166">
      <c r="A166" s="25" t="n"/>
      <c r="B166" s="26">
        <f>IF(A166="","",TEXT(A166,"YYYY-MM"))</f>
        <v/>
      </c>
      <c r="C166" s="27" t="n"/>
      <c r="D166" s="27" t="n"/>
      <c r="E166" s="9" t="n"/>
      <c r="F166" s="9" t="n"/>
      <c r="G166" s="9" t="n"/>
      <c r="H166" s="28" t="n"/>
      <c r="I166" s="28" t="n"/>
      <c r="J166" s="9" t="n"/>
      <c r="K166" s="9" t="n"/>
      <c r="L166" s="9" t="n"/>
      <c r="M166" s="9" t="n"/>
      <c r="N166" s="9" t="n"/>
      <c r="O166" s="7">
        <f>IFERROR(F166/E166,"")</f>
        <v/>
      </c>
      <c r="P166" s="7">
        <f>IFERROR(G166/E166,"")</f>
        <v/>
      </c>
      <c r="Q166" s="7">
        <f>IFERROR(H166/I166,"")</f>
        <v/>
      </c>
      <c r="R166" s="7">
        <f>IFERROR(J166/E166,"")</f>
        <v/>
      </c>
      <c r="S166" s="7">
        <f>IFERROR(K166/E166,"")</f>
        <v/>
      </c>
      <c r="T166" s="7">
        <f>IFERROR(M166/E166,"")</f>
        <v/>
      </c>
      <c r="U166" s="7">
        <f>IFERROR(N166/E166,"")</f>
        <v/>
      </c>
      <c r="V166" s="6">
        <f>IFERROR(INDEX('設定・凡例'!$H$20:$H$24,MATCH(D166,'設定・凡例'!$G$20:$G$24,0)),"")</f>
        <v/>
      </c>
      <c r="W166" s="26">
        <f>IF(E166="","",IF(ISNUMBER(V166),IF(E166&gt;=V166,"○","×"),"-"))</f>
        <v/>
      </c>
    </row>
    <row r="167">
      <c r="A167" s="25" t="n"/>
      <c r="B167" s="26">
        <f>IF(A167="","",TEXT(A167,"YYYY-MM"))</f>
        <v/>
      </c>
      <c r="C167" s="27" t="n"/>
      <c r="D167" s="27" t="n"/>
      <c r="E167" s="9" t="n"/>
      <c r="F167" s="9" t="n"/>
      <c r="G167" s="9" t="n"/>
      <c r="H167" s="28" t="n"/>
      <c r="I167" s="28" t="n"/>
      <c r="J167" s="9" t="n"/>
      <c r="K167" s="9" t="n"/>
      <c r="L167" s="9" t="n"/>
      <c r="M167" s="9" t="n"/>
      <c r="N167" s="9" t="n"/>
      <c r="O167" s="7">
        <f>IFERROR(F167/E167,"")</f>
        <v/>
      </c>
      <c r="P167" s="7">
        <f>IFERROR(G167/E167,"")</f>
        <v/>
      </c>
      <c r="Q167" s="7">
        <f>IFERROR(H167/I167,"")</f>
        <v/>
      </c>
      <c r="R167" s="7">
        <f>IFERROR(J167/E167,"")</f>
        <v/>
      </c>
      <c r="S167" s="7">
        <f>IFERROR(K167/E167,"")</f>
        <v/>
      </c>
      <c r="T167" s="7">
        <f>IFERROR(M167/E167,"")</f>
        <v/>
      </c>
      <c r="U167" s="7">
        <f>IFERROR(N167/E167,"")</f>
        <v/>
      </c>
      <c r="V167" s="6">
        <f>IFERROR(INDEX('設定・凡例'!$H$20:$H$24,MATCH(D167,'設定・凡例'!$G$20:$G$24,0)),"")</f>
        <v/>
      </c>
      <c r="W167" s="26">
        <f>IF(E167="","",IF(ISNUMBER(V167),IF(E167&gt;=V167,"○","×"),"-"))</f>
        <v/>
      </c>
    </row>
    <row r="168">
      <c r="A168" s="25" t="n"/>
      <c r="B168" s="26">
        <f>IF(A168="","",TEXT(A168,"YYYY-MM"))</f>
        <v/>
      </c>
      <c r="C168" s="27" t="n"/>
      <c r="D168" s="27" t="n"/>
      <c r="E168" s="9" t="n"/>
      <c r="F168" s="9" t="n"/>
      <c r="G168" s="9" t="n"/>
      <c r="H168" s="28" t="n"/>
      <c r="I168" s="28" t="n"/>
      <c r="J168" s="9" t="n"/>
      <c r="K168" s="9" t="n"/>
      <c r="L168" s="9" t="n"/>
      <c r="M168" s="9" t="n"/>
      <c r="N168" s="9" t="n"/>
      <c r="O168" s="7">
        <f>IFERROR(F168/E168,"")</f>
        <v/>
      </c>
      <c r="P168" s="7">
        <f>IFERROR(G168/E168,"")</f>
        <v/>
      </c>
      <c r="Q168" s="7">
        <f>IFERROR(H168/I168,"")</f>
        <v/>
      </c>
      <c r="R168" s="7">
        <f>IFERROR(J168/E168,"")</f>
        <v/>
      </c>
      <c r="S168" s="7">
        <f>IFERROR(K168/E168,"")</f>
        <v/>
      </c>
      <c r="T168" s="7">
        <f>IFERROR(M168/E168,"")</f>
        <v/>
      </c>
      <c r="U168" s="7">
        <f>IFERROR(N168/E168,"")</f>
        <v/>
      </c>
      <c r="V168" s="6">
        <f>IFERROR(INDEX('設定・凡例'!$H$20:$H$24,MATCH(D168,'設定・凡例'!$G$20:$G$24,0)),"")</f>
        <v/>
      </c>
      <c r="W168" s="26">
        <f>IF(E168="","",IF(ISNUMBER(V168),IF(E168&gt;=V168,"○","×"),"-"))</f>
        <v/>
      </c>
    </row>
    <row r="169">
      <c r="A169" s="25" t="n"/>
      <c r="B169" s="26">
        <f>IF(A169="","",TEXT(A169,"YYYY-MM"))</f>
        <v/>
      </c>
      <c r="C169" s="27" t="n"/>
      <c r="D169" s="27" t="n"/>
      <c r="E169" s="9" t="n"/>
      <c r="F169" s="9" t="n"/>
      <c r="G169" s="9" t="n"/>
      <c r="H169" s="28" t="n"/>
      <c r="I169" s="28" t="n"/>
      <c r="J169" s="9" t="n"/>
      <c r="K169" s="9" t="n"/>
      <c r="L169" s="9" t="n"/>
      <c r="M169" s="9" t="n"/>
      <c r="N169" s="9" t="n"/>
      <c r="O169" s="7">
        <f>IFERROR(F169/E169,"")</f>
        <v/>
      </c>
      <c r="P169" s="7">
        <f>IFERROR(G169/E169,"")</f>
        <v/>
      </c>
      <c r="Q169" s="7">
        <f>IFERROR(H169/I169,"")</f>
        <v/>
      </c>
      <c r="R169" s="7">
        <f>IFERROR(J169/E169,"")</f>
        <v/>
      </c>
      <c r="S169" s="7">
        <f>IFERROR(K169/E169,"")</f>
        <v/>
      </c>
      <c r="T169" s="7">
        <f>IFERROR(M169/E169,"")</f>
        <v/>
      </c>
      <c r="U169" s="7">
        <f>IFERROR(N169/E169,"")</f>
        <v/>
      </c>
      <c r="V169" s="6">
        <f>IFERROR(INDEX('設定・凡例'!$H$20:$H$24,MATCH(D169,'設定・凡例'!$G$20:$G$24,0)),"")</f>
        <v/>
      </c>
      <c r="W169" s="26">
        <f>IF(E169="","",IF(ISNUMBER(V169),IF(E169&gt;=V169,"○","×"),"-"))</f>
        <v/>
      </c>
    </row>
    <row r="170">
      <c r="A170" s="25" t="n"/>
      <c r="B170" s="26">
        <f>IF(A170="","",TEXT(A170,"YYYY-MM"))</f>
        <v/>
      </c>
      <c r="C170" s="27" t="n"/>
      <c r="D170" s="27" t="n"/>
      <c r="E170" s="9" t="n"/>
      <c r="F170" s="9" t="n"/>
      <c r="G170" s="9" t="n"/>
      <c r="H170" s="28" t="n"/>
      <c r="I170" s="28" t="n"/>
      <c r="J170" s="9" t="n"/>
      <c r="K170" s="9" t="n"/>
      <c r="L170" s="9" t="n"/>
      <c r="M170" s="9" t="n"/>
      <c r="N170" s="9" t="n"/>
      <c r="O170" s="7">
        <f>IFERROR(F170/E170,"")</f>
        <v/>
      </c>
      <c r="P170" s="7">
        <f>IFERROR(G170/E170,"")</f>
        <v/>
      </c>
      <c r="Q170" s="7">
        <f>IFERROR(H170/I170,"")</f>
        <v/>
      </c>
      <c r="R170" s="7">
        <f>IFERROR(J170/E170,"")</f>
        <v/>
      </c>
      <c r="S170" s="7">
        <f>IFERROR(K170/E170,"")</f>
        <v/>
      </c>
      <c r="T170" s="7">
        <f>IFERROR(M170/E170,"")</f>
        <v/>
      </c>
      <c r="U170" s="7">
        <f>IFERROR(N170/E170,"")</f>
        <v/>
      </c>
      <c r="V170" s="6">
        <f>IFERROR(INDEX('設定・凡例'!$H$20:$H$24,MATCH(D170,'設定・凡例'!$G$20:$G$24,0)),"")</f>
        <v/>
      </c>
      <c r="W170" s="26">
        <f>IF(E170="","",IF(ISNUMBER(V170),IF(E170&gt;=V170,"○","×"),"-"))</f>
        <v/>
      </c>
    </row>
    <row r="171">
      <c r="A171" s="25" t="n"/>
      <c r="B171" s="26">
        <f>IF(A171="","",TEXT(A171,"YYYY-MM"))</f>
        <v/>
      </c>
      <c r="C171" s="27" t="n"/>
      <c r="D171" s="27" t="n"/>
      <c r="E171" s="9" t="n"/>
      <c r="F171" s="9" t="n"/>
      <c r="G171" s="9" t="n"/>
      <c r="H171" s="28" t="n"/>
      <c r="I171" s="28" t="n"/>
      <c r="J171" s="9" t="n"/>
      <c r="K171" s="9" t="n"/>
      <c r="L171" s="9" t="n"/>
      <c r="M171" s="9" t="n"/>
      <c r="N171" s="9" t="n"/>
      <c r="O171" s="7">
        <f>IFERROR(F171/E171,"")</f>
        <v/>
      </c>
      <c r="P171" s="7">
        <f>IFERROR(G171/E171,"")</f>
        <v/>
      </c>
      <c r="Q171" s="7">
        <f>IFERROR(H171/I171,"")</f>
        <v/>
      </c>
      <c r="R171" s="7">
        <f>IFERROR(J171/E171,"")</f>
        <v/>
      </c>
      <c r="S171" s="7">
        <f>IFERROR(K171/E171,"")</f>
        <v/>
      </c>
      <c r="T171" s="7">
        <f>IFERROR(M171/E171,"")</f>
        <v/>
      </c>
      <c r="U171" s="7">
        <f>IFERROR(N171/E171,"")</f>
        <v/>
      </c>
      <c r="V171" s="6">
        <f>IFERROR(INDEX('設定・凡例'!$H$20:$H$24,MATCH(D171,'設定・凡例'!$G$20:$G$24,0)),"")</f>
        <v/>
      </c>
      <c r="W171" s="26">
        <f>IF(E171="","",IF(ISNUMBER(V171),IF(E171&gt;=V171,"○","×"),"-"))</f>
        <v/>
      </c>
    </row>
    <row r="172">
      <c r="A172" s="25" t="n"/>
      <c r="B172" s="26">
        <f>IF(A172="","",TEXT(A172,"YYYY-MM"))</f>
        <v/>
      </c>
      <c r="C172" s="27" t="n"/>
      <c r="D172" s="27" t="n"/>
      <c r="E172" s="9" t="n"/>
      <c r="F172" s="9" t="n"/>
      <c r="G172" s="9" t="n"/>
      <c r="H172" s="28" t="n"/>
      <c r="I172" s="28" t="n"/>
      <c r="J172" s="9" t="n"/>
      <c r="K172" s="9" t="n"/>
      <c r="L172" s="9" t="n"/>
      <c r="M172" s="9" t="n"/>
      <c r="N172" s="9" t="n"/>
      <c r="O172" s="7">
        <f>IFERROR(F172/E172,"")</f>
        <v/>
      </c>
      <c r="P172" s="7">
        <f>IFERROR(G172/E172,"")</f>
        <v/>
      </c>
      <c r="Q172" s="7">
        <f>IFERROR(H172/I172,"")</f>
        <v/>
      </c>
      <c r="R172" s="7">
        <f>IFERROR(J172/E172,"")</f>
        <v/>
      </c>
      <c r="S172" s="7">
        <f>IFERROR(K172/E172,"")</f>
        <v/>
      </c>
      <c r="T172" s="7">
        <f>IFERROR(M172/E172,"")</f>
        <v/>
      </c>
      <c r="U172" s="7">
        <f>IFERROR(N172/E172,"")</f>
        <v/>
      </c>
      <c r="V172" s="6">
        <f>IFERROR(INDEX('設定・凡例'!$H$20:$H$24,MATCH(D172,'設定・凡例'!$G$20:$G$24,0)),"")</f>
        <v/>
      </c>
      <c r="W172" s="26">
        <f>IF(E172="","",IF(ISNUMBER(V172),IF(E172&gt;=V172,"○","×"),"-"))</f>
        <v/>
      </c>
    </row>
    <row r="173">
      <c r="A173" s="25" t="n"/>
      <c r="B173" s="26">
        <f>IF(A173="","",TEXT(A173,"YYYY-MM"))</f>
        <v/>
      </c>
      <c r="C173" s="27" t="n"/>
      <c r="D173" s="27" t="n"/>
      <c r="E173" s="9" t="n"/>
      <c r="F173" s="9" t="n"/>
      <c r="G173" s="9" t="n"/>
      <c r="H173" s="28" t="n"/>
      <c r="I173" s="28" t="n"/>
      <c r="J173" s="9" t="n"/>
      <c r="K173" s="9" t="n"/>
      <c r="L173" s="9" t="n"/>
      <c r="M173" s="9" t="n"/>
      <c r="N173" s="9" t="n"/>
      <c r="O173" s="7">
        <f>IFERROR(F173/E173,"")</f>
        <v/>
      </c>
      <c r="P173" s="7">
        <f>IFERROR(G173/E173,"")</f>
        <v/>
      </c>
      <c r="Q173" s="7">
        <f>IFERROR(H173/I173,"")</f>
        <v/>
      </c>
      <c r="R173" s="7">
        <f>IFERROR(J173/E173,"")</f>
        <v/>
      </c>
      <c r="S173" s="7">
        <f>IFERROR(K173/E173,"")</f>
        <v/>
      </c>
      <c r="T173" s="7">
        <f>IFERROR(M173/E173,"")</f>
        <v/>
      </c>
      <c r="U173" s="7">
        <f>IFERROR(N173/E173,"")</f>
        <v/>
      </c>
      <c r="V173" s="6">
        <f>IFERROR(INDEX('設定・凡例'!$H$20:$H$24,MATCH(D173,'設定・凡例'!$G$20:$G$24,0)),"")</f>
        <v/>
      </c>
      <c r="W173" s="26">
        <f>IF(E173="","",IF(ISNUMBER(V173),IF(E173&gt;=V173,"○","×"),"-"))</f>
        <v/>
      </c>
    </row>
    <row r="174">
      <c r="A174" s="25" t="n"/>
      <c r="B174" s="26">
        <f>IF(A174="","",TEXT(A174,"YYYY-MM"))</f>
        <v/>
      </c>
      <c r="C174" s="27" t="n"/>
      <c r="D174" s="27" t="n"/>
      <c r="E174" s="9" t="n"/>
      <c r="F174" s="9" t="n"/>
      <c r="G174" s="9" t="n"/>
      <c r="H174" s="28" t="n"/>
      <c r="I174" s="28" t="n"/>
      <c r="J174" s="9" t="n"/>
      <c r="K174" s="9" t="n"/>
      <c r="L174" s="9" t="n"/>
      <c r="M174" s="9" t="n"/>
      <c r="N174" s="9" t="n"/>
      <c r="O174" s="7">
        <f>IFERROR(F174/E174,"")</f>
        <v/>
      </c>
      <c r="P174" s="7">
        <f>IFERROR(G174/E174,"")</f>
        <v/>
      </c>
      <c r="Q174" s="7">
        <f>IFERROR(H174/I174,"")</f>
        <v/>
      </c>
      <c r="R174" s="7">
        <f>IFERROR(J174/E174,"")</f>
        <v/>
      </c>
      <c r="S174" s="7">
        <f>IFERROR(K174/E174,"")</f>
        <v/>
      </c>
      <c r="T174" s="7">
        <f>IFERROR(M174/E174,"")</f>
        <v/>
      </c>
      <c r="U174" s="7">
        <f>IFERROR(N174/E174,"")</f>
        <v/>
      </c>
      <c r="V174" s="6">
        <f>IFERROR(INDEX('設定・凡例'!$H$20:$H$24,MATCH(D174,'設定・凡例'!$G$20:$G$24,0)),"")</f>
        <v/>
      </c>
      <c r="W174" s="26">
        <f>IF(E174="","",IF(ISNUMBER(V174),IF(E174&gt;=V174,"○","×"),"-"))</f>
        <v/>
      </c>
    </row>
    <row r="175">
      <c r="A175" s="25" t="n"/>
      <c r="B175" s="26">
        <f>IF(A175="","",TEXT(A175,"YYYY-MM"))</f>
        <v/>
      </c>
      <c r="C175" s="27" t="n"/>
      <c r="D175" s="27" t="n"/>
      <c r="E175" s="9" t="n"/>
      <c r="F175" s="9" t="n"/>
      <c r="G175" s="9" t="n"/>
      <c r="H175" s="28" t="n"/>
      <c r="I175" s="28" t="n"/>
      <c r="J175" s="9" t="n"/>
      <c r="K175" s="9" t="n"/>
      <c r="L175" s="9" t="n"/>
      <c r="M175" s="9" t="n"/>
      <c r="N175" s="9" t="n"/>
      <c r="O175" s="7">
        <f>IFERROR(F175/E175,"")</f>
        <v/>
      </c>
      <c r="P175" s="7">
        <f>IFERROR(G175/E175,"")</f>
        <v/>
      </c>
      <c r="Q175" s="7">
        <f>IFERROR(H175/I175,"")</f>
        <v/>
      </c>
      <c r="R175" s="7">
        <f>IFERROR(J175/E175,"")</f>
        <v/>
      </c>
      <c r="S175" s="7">
        <f>IFERROR(K175/E175,"")</f>
        <v/>
      </c>
      <c r="T175" s="7">
        <f>IFERROR(M175/E175,"")</f>
        <v/>
      </c>
      <c r="U175" s="7">
        <f>IFERROR(N175/E175,"")</f>
        <v/>
      </c>
      <c r="V175" s="6">
        <f>IFERROR(INDEX('設定・凡例'!$H$20:$H$24,MATCH(D175,'設定・凡例'!$G$20:$G$24,0)),"")</f>
        <v/>
      </c>
      <c r="W175" s="26">
        <f>IF(E175="","",IF(ISNUMBER(V175),IF(E175&gt;=V175,"○","×"),"-"))</f>
        <v/>
      </c>
    </row>
    <row r="176">
      <c r="A176" s="25" t="n"/>
      <c r="B176" s="26">
        <f>IF(A176="","",TEXT(A176,"YYYY-MM"))</f>
        <v/>
      </c>
      <c r="C176" s="27" t="n"/>
      <c r="D176" s="27" t="n"/>
      <c r="E176" s="9" t="n"/>
      <c r="F176" s="9" t="n"/>
      <c r="G176" s="9" t="n"/>
      <c r="H176" s="28" t="n"/>
      <c r="I176" s="28" t="n"/>
      <c r="J176" s="9" t="n"/>
      <c r="K176" s="9" t="n"/>
      <c r="L176" s="9" t="n"/>
      <c r="M176" s="9" t="n"/>
      <c r="N176" s="9" t="n"/>
      <c r="O176" s="7">
        <f>IFERROR(F176/E176,"")</f>
        <v/>
      </c>
      <c r="P176" s="7">
        <f>IFERROR(G176/E176,"")</f>
        <v/>
      </c>
      <c r="Q176" s="7">
        <f>IFERROR(H176/I176,"")</f>
        <v/>
      </c>
      <c r="R176" s="7">
        <f>IFERROR(J176/E176,"")</f>
        <v/>
      </c>
      <c r="S176" s="7">
        <f>IFERROR(K176/E176,"")</f>
        <v/>
      </c>
      <c r="T176" s="7">
        <f>IFERROR(M176/E176,"")</f>
        <v/>
      </c>
      <c r="U176" s="7">
        <f>IFERROR(N176/E176,"")</f>
        <v/>
      </c>
      <c r="V176" s="6">
        <f>IFERROR(INDEX('設定・凡例'!$H$20:$H$24,MATCH(D176,'設定・凡例'!$G$20:$G$24,0)),"")</f>
        <v/>
      </c>
      <c r="W176" s="26">
        <f>IF(E176="","",IF(ISNUMBER(V176),IF(E176&gt;=V176,"○","×"),"-"))</f>
        <v/>
      </c>
    </row>
    <row r="177">
      <c r="A177" s="25" t="n"/>
      <c r="B177" s="26">
        <f>IF(A177="","",TEXT(A177,"YYYY-MM"))</f>
        <v/>
      </c>
      <c r="C177" s="27" t="n"/>
      <c r="D177" s="27" t="n"/>
      <c r="E177" s="9" t="n"/>
      <c r="F177" s="9" t="n"/>
      <c r="G177" s="9" t="n"/>
      <c r="H177" s="28" t="n"/>
      <c r="I177" s="28" t="n"/>
      <c r="J177" s="9" t="n"/>
      <c r="K177" s="9" t="n"/>
      <c r="L177" s="9" t="n"/>
      <c r="M177" s="9" t="n"/>
      <c r="N177" s="9" t="n"/>
      <c r="O177" s="7">
        <f>IFERROR(F177/E177,"")</f>
        <v/>
      </c>
      <c r="P177" s="7">
        <f>IFERROR(G177/E177,"")</f>
        <v/>
      </c>
      <c r="Q177" s="7">
        <f>IFERROR(H177/I177,"")</f>
        <v/>
      </c>
      <c r="R177" s="7">
        <f>IFERROR(J177/E177,"")</f>
        <v/>
      </c>
      <c r="S177" s="7">
        <f>IFERROR(K177/E177,"")</f>
        <v/>
      </c>
      <c r="T177" s="7">
        <f>IFERROR(M177/E177,"")</f>
        <v/>
      </c>
      <c r="U177" s="7">
        <f>IFERROR(N177/E177,"")</f>
        <v/>
      </c>
      <c r="V177" s="6">
        <f>IFERROR(INDEX('設定・凡例'!$H$20:$H$24,MATCH(D177,'設定・凡例'!$G$20:$G$24,0)),"")</f>
        <v/>
      </c>
      <c r="W177" s="26">
        <f>IF(E177="","",IF(ISNUMBER(V177),IF(E177&gt;=V177,"○","×"),"-"))</f>
        <v/>
      </c>
    </row>
    <row r="178">
      <c r="A178" s="25" t="n"/>
      <c r="B178" s="26">
        <f>IF(A178="","",TEXT(A178,"YYYY-MM"))</f>
        <v/>
      </c>
      <c r="C178" s="27" t="n"/>
      <c r="D178" s="27" t="n"/>
      <c r="E178" s="9" t="n"/>
      <c r="F178" s="9" t="n"/>
      <c r="G178" s="9" t="n"/>
      <c r="H178" s="28" t="n"/>
      <c r="I178" s="28" t="n"/>
      <c r="J178" s="9" t="n"/>
      <c r="K178" s="9" t="n"/>
      <c r="L178" s="9" t="n"/>
      <c r="M178" s="9" t="n"/>
      <c r="N178" s="9" t="n"/>
      <c r="O178" s="7">
        <f>IFERROR(F178/E178,"")</f>
        <v/>
      </c>
      <c r="P178" s="7">
        <f>IFERROR(G178/E178,"")</f>
        <v/>
      </c>
      <c r="Q178" s="7">
        <f>IFERROR(H178/I178,"")</f>
        <v/>
      </c>
      <c r="R178" s="7">
        <f>IFERROR(J178/E178,"")</f>
        <v/>
      </c>
      <c r="S178" s="7">
        <f>IFERROR(K178/E178,"")</f>
        <v/>
      </c>
      <c r="T178" s="7">
        <f>IFERROR(M178/E178,"")</f>
        <v/>
      </c>
      <c r="U178" s="7">
        <f>IFERROR(N178/E178,"")</f>
        <v/>
      </c>
      <c r="V178" s="6">
        <f>IFERROR(INDEX('設定・凡例'!$H$20:$H$24,MATCH(D178,'設定・凡例'!$G$20:$G$24,0)),"")</f>
        <v/>
      </c>
      <c r="W178" s="26">
        <f>IF(E178="","",IF(ISNUMBER(V178),IF(E178&gt;=V178,"○","×"),"-"))</f>
        <v/>
      </c>
    </row>
    <row r="179">
      <c r="A179" s="25" t="n"/>
      <c r="B179" s="26">
        <f>IF(A179="","",TEXT(A179,"YYYY-MM"))</f>
        <v/>
      </c>
      <c r="C179" s="27" t="n"/>
      <c r="D179" s="27" t="n"/>
      <c r="E179" s="9" t="n"/>
      <c r="F179" s="9" t="n"/>
      <c r="G179" s="9" t="n"/>
      <c r="H179" s="28" t="n"/>
      <c r="I179" s="28" t="n"/>
      <c r="J179" s="9" t="n"/>
      <c r="K179" s="9" t="n"/>
      <c r="L179" s="9" t="n"/>
      <c r="M179" s="9" t="n"/>
      <c r="N179" s="9" t="n"/>
      <c r="O179" s="7">
        <f>IFERROR(F179/E179,"")</f>
        <v/>
      </c>
      <c r="P179" s="7">
        <f>IFERROR(G179/E179,"")</f>
        <v/>
      </c>
      <c r="Q179" s="7">
        <f>IFERROR(H179/I179,"")</f>
        <v/>
      </c>
      <c r="R179" s="7">
        <f>IFERROR(J179/E179,"")</f>
        <v/>
      </c>
      <c r="S179" s="7">
        <f>IFERROR(K179/E179,"")</f>
        <v/>
      </c>
      <c r="T179" s="7">
        <f>IFERROR(M179/E179,"")</f>
        <v/>
      </c>
      <c r="U179" s="7">
        <f>IFERROR(N179/E179,"")</f>
        <v/>
      </c>
      <c r="V179" s="6">
        <f>IFERROR(INDEX('設定・凡例'!$H$20:$H$24,MATCH(D179,'設定・凡例'!$G$20:$G$24,0)),"")</f>
        <v/>
      </c>
      <c r="W179" s="26">
        <f>IF(E179="","",IF(ISNUMBER(V179),IF(E179&gt;=V179,"○","×"),"-"))</f>
        <v/>
      </c>
    </row>
    <row r="180">
      <c r="A180" s="25" t="n"/>
      <c r="B180" s="26">
        <f>IF(A180="","",TEXT(A180,"YYYY-MM"))</f>
        <v/>
      </c>
      <c r="C180" s="27" t="n"/>
      <c r="D180" s="27" t="n"/>
      <c r="E180" s="9" t="n"/>
      <c r="F180" s="9" t="n"/>
      <c r="G180" s="9" t="n"/>
      <c r="H180" s="28" t="n"/>
      <c r="I180" s="28" t="n"/>
      <c r="J180" s="9" t="n"/>
      <c r="K180" s="9" t="n"/>
      <c r="L180" s="9" t="n"/>
      <c r="M180" s="9" t="n"/>
      <c r="N180" s="9" t="n"/>
      <c r="O180" s="7">
        <f>IFERROR(F180/E180,"")</f>
        <v/>
      </c>
      <c r="P180" s="7">
        <f>IFERROR(G180/E180,"")</f>
        <v/>
      </c>
      <c r="Q180" s="7">
        <f>IFERROR(H180/I180,"")</f>
        <v/>
      </c>
      <c r="R180" s="7">
        <f>IFERROR(J180/E180,"")</f>
        <v/>
      </c>
      <c r="S180" s="7">
        <f>IFERROR(K180/E180,"")</f>
        <v/>
      </c>
      <c r="T180" s="7">
        <f>IFERROR(M180/E180,"")</f>
        <v/>
      </c>
      <c r="U180" s="7">
        <f>IFERROR(N180/E180,"")</f>
        <v/>
      </c>
      <c r="V180" s="6">
        <f>IFERROR(INDEX('設定・凡例'!$H$20:$H$24,MATCH(D180,'設定・凡例'!$G$20:$G$24,0)),"")</f>
        <v/>
      </c>
      <c r="W180" s="26">
        <f>IF(E180="","",IF(ISNUMBER(V180),IF(E180&gt;=V180,"○","×"),"-"))</f>
        <v/>
      </c>
    </row>
    <row r="181">
      <c r="A181" s="25" t="n"/>
      <c r="B181" s="26">
        <f>IF(A181="","",TEXT(A181,"YYYY-MM"))</f>
        <v/>
      </c>
      <c r="C181" s="27" t="n"/>
      <c r="D181" s="27" t="n"/>
      <c r="E181" s="9" t="n"/>
      <c r="F181" s="9" t="n"/>
      <c r="G181" s="9" t="n"/>
      <c r="H181" s="28" t="n"/>
      <c r="I181" s="28" t="n"/>
      <c r="J181" s="9" t="n"/>
      <c r="K181" s="9" t="n"/>
      <c r="L181" s="9" t="n"/>
      <c r="M181" s="9" t="n"/>
      <c r="N181" s="9" t="n"/>
      <c r="O181" s="7">
        <f>IFERROR(F181/E181,"")</f>
        <v/>
      </c>
      <c r="P181" s="7">
        <f>IFERROR(G181/E181,"")</f>
        <v/>
      </c>
      <c r="Q181" s="7">
        <f>IFERROR(H181/I181,"")</f>
        <v/>
      </c>
      <c r="R181" s="7">
        <f>IFERROR(J181/E181,"")</f>
        <v/>
      </c>
      <c r="S181" s="7">
        <f>IFERROR(K181/E181,"")</f>
        <v/>
      </c>
      <c r="T181" s="7">
        <f>IFERROR(M181/E181,"")</f>
        <v/>
      </c>
      <c r="U181" s="7">
        <f>IFERROR(N181/E181,"")</f>
        <v/>
      </c>
      <c r="V181" s="6">
        <f>IFERROR(INDEX('設定・凡例'!$H$20:$H$24,MATCH(D181,'設定・凡例'!$G$20:$G$24,0)),"")</f>
        <v/>
      </c>
      <c r="W181" s="26">
        <f>IF(E181="","",IF(ISNUMBER(V181),IF(E181&gt;=V181,"○","×"),"-"))</f>
        <v/>
      </c>
    </row>
    <row r="182">
      <c r="A182" s="25" t="n"/>
      <c r="B182" s="26">
        <f>IF(A182="","",TEXT(A182,"YYYY-MM"))</f>
        <v/>
      </c>
      <c r="C182" s="27" t="n"/>
      <c r="D182" s="27" t="n"/>
      <c r="E182" s="9" t="n"/>
      <c r="F182" s="9" t="n"/>
      <c r="G182" s="9" t="n"/>
      <c r="H182" s="28" t="n"/>
      <c r="I182" s="28" t="n"/>
      <c r="J182" s="9" t="n"/>
      <c r="K182" s="9" t="n"/>
      <c r="L182" s="9" t="n"/>
      <c r="M182" s="9" t="n"/>
      <c r="N182" s="9" t="n"/>
      <c r="O182" s="7">
        <f>IFERROR(F182/E182,"")</f>
        <v/>
      </c>
      <c r="P182" s="7">
        <f>IFERROR(G182/E182,"")</f>
        <v/>
      </c>
      <c r="Q182" s="7">
        <f>IFERROR(H182/I182,"")</f>
        <v/>
      </c>
      <c r="R182" s="7">
        <f>IFERROR(J182/E182,"")</f>
        <v/>
      </c>
      <c r="S182" s="7">
        <f>IFERROR(K182/E182,"")</f>
        <v/>
      </c>
      <c r="T182" s="7">
        <f>IFERROR(M182/E182,"")</f>
        <v/>
      </c>
      <c r="U182" s="7">
        <f>IFERROR(N182/E182,"")</f>
        <v/>
      </c>
      <c r="V182" s="6">
        <f>IFERROR(INDEX('設定・凡例'!$H$20:$H$24,MATCH(D182,'設定・凡例'!$G$20:$G$24,0)),"")</f>
        <v/>
      </c>
      <c r="W182" s="26">
        <f>IF(E182="","",IF(ISNUMBER(V182),IF(E182&gt;=V182,"○","×"),"-"))</f>
        <v/>
      </c>
    </row>
    <row r="183">
      <c r="A183" s="25" t="n"/>
      <c r="B183" s="26">
        <f>IF(A183="","",TEXT(A183,"YYYY-MM"))</f>
        <v/>
      </c>
      <c r="C183" s="27" t="n"/>
      <c r="D183" s="27" t="n"/>
      <c r="E183" s="9" t="n"/>
      <c r="F183" s="9" t="n"/>
      <c r="G183" s="9" t="n"/>
      <c r="H183" s="28" t="n"/>
      <c r="I183" s="28" t="n"/>
      <c r="J183" s="9" t="n"/>
      <c r="K183" s="9" t="n"/>
      <c r="L183" s="9" t="n"/>
      <c r="M183" s="9" t="n"/>
      <c r="N183" s="9" t="n"/>
      <c r="O183" s="7">
        <f>IFERROR(F183/E183,"")</f>
        <v/>
      </c>
      <c r="P183" s="7">
        <f>IFERROR(G183/E183,"")</f>
        <v/>
      </c>
      <c r="Q183" s="7">
        <f>IFERROR(H183/I183,"")</f>
        <v/>
      </c>
      <c r="R183" s="7">
        <f>IFERROR(J183/E183,"")</f>
        <v/>
      </c>
      <c r="S183" s="7">
        <f>IFERROR(K183/E183,"")</f>
        <v/>
      </c>
      <c r="T183" s="7">
        <f>IFERROR(M183/E183,"")</f>
        <v/>
      </c>
      <c r="U183" s="7">
        <f>IFERROR(N183/E183,"")</f>
        <v/>
      </c>
      <c r="V183" s="6">
        <f>IFERROR(INDEX('設定・凡例'!$H$20:$H$24,MATCH(D183,'設定・凡例'!$G$20:$G$24,0)),"")</f>
        <v/>
      </c>
      <c r="W183" s="26">
        <f>IF(E183="","",IF(ISNUMBER(V183),IF(E183&gt;=V183,"○","×"),"-"))</f>
        <v/>
      </c>
    </row>
    <row r="184">
      <c r="A184" s="25" t="n"/>
      <c r="B184" s="26">
        <f>IF(A184="","",TEXT(A184,"YYYY-MM"))</f>
        <v/>
      </c>
      <c r="C184" s="27" t="n"/>
      <c r="D184" s="27" t="n"/>
      <c r="E184" s="9" t="n"/>
      <c r="F184" s="9" t="n"/>
      <c r="G184" s="9" t="n"/>
      <c r="H184" s="28" t="n"/>
      <c r="I184" s="28" t="n"/>
      <c r="J184" s="9" t="n"/>
      <c r="K184" s="9" t="n"/>
      <c r="L184" s="9" t="n"/>
      <c r="M184" s="9" t="n"/>
      <c r="N184" s="9" t="n"/>
      <c r="O184" s="7">
        <f>IFERROR(F184/E184,"")</f>
        <v/>
      </c>
      <c r="P184" s="7">
        <f>IFERROR(G184/E184,"")</f>
        <v/>
      </c>
      <c r="Q184" s="7">
        <f>IFERROR(H184/I184,"")</f>
        <v/>
      </c>
      <c r="R184" s="7">
        <f>IFERROR(J184/E184,"")</f>
        <v/>
      </c>
      <c r="S184" s="7">
        <f>IFERROR(K184/E184,"")</f>
        <v/>
      </c>
      <c r="T184" s="7">
        <f>IFERROR(M184/E184,"")</f>
        <v/>
      </c>
      <c r="U184" s="7">
        <f>IFERROR(N184/E184,"")</f>
        <v/>
      </c>
      <c r="V184" s="6">
        <f>IFERROR(INDEX('設定・凡例'!$H$20:$H$24,MATCH(D184,'設定・凡例'!$G$20:$G$24,0)),"")</f>
        <v/>
      </c>
      <c r="W184" s="26">
        <f>IF(E184="","",IF(ISNUMBER(V184),IF(E184&gt;=V184,"○","×"),"-"))</f>
        <v/>
      </c>
    </row>
    <row r="185">
      <c r="A185" s="25" t="n"/>
      <c r="B185" s="26">
        <f>IF(A185="","",TEXT(A185,"YYYY-MM"))</f>
        <v/>
      </c>
      <c r="C185" s="27" t="n"/>
      <c r="D185" s="27" t="n"/>
      <c r="E185" s="9" t="n"/>
      <c r="F185" s="9" t="n"/>
      <c r="G185" s="9" t="n"/>
      <c r="H185" s="28" t="n"/>
      <c r="I185" s="28" t="n"/>
      <c r="J185" s="9" t="n"/>
      <c r="K185" s="9" t="n"/>
      <c r="L185" s="9" t="n"/>
      <c r="M185" s="9" t="n"/>
      <c r="N185" s="9" t="n"/>
      <c r="O185" s="7">
        <f>IFERROR(F185/E185,"")</f>
        <v/>
      </c>
      <c r="P185" s="7">
        <f>IFERROR(G185/E185,"")</f>
        <v/>
      </c>
      <c r="Q185" s="7">
        <f>IFERROR(H185/I185,"")</f>
        <v/>
      </c>
      <c r="R185" s="7">
        <f>IFERROR(J185/E185,"")</f>
        <v/>
      </c>
      <c r="S185" s="7">
        <f>IFERROR(K185/E185,"")</f>
        <v/>
      </c>
      <c r="T185" s="7">
        <f>IFERROR(M185/E185,"")</f>
        <v/>
      </c>
      <c r="U185" s="7">
        <f>IFERROR(N185/E185,"")</f>
        <v/>
      </c>
      <c r="V185" s="6">
        <f>IFERROR(INDEX('設定・凡例'!$H$20:$H$24,MATCH(D185,'設定・凡例'!$G$20:$G$24,0)),"")</f>
        <v/>
      </c>
      <c r="W185" s="26">
        <f>IF(E185="","",IF(ISNUMBER(V185),IF(E185&gt;=V185,"○","×"),"-"))</f>
        <v/>
      </c>
    </row>
    <row r="186">
      <c r="A186" s="25" t="n"/>
      <c r="B186" s="26">
        <f>IF(A186="","",TEXT(A186,"YYYY-MM"))</f>
        <v/>
      </c>
      <c r="C186" s="27" t="n"/>
      <c r="D186" s="27" t="n"/>
      <c r="E186" s="9" t="n"/>
      <c r="F186" s="9" t="n"/>
      <c r="G186" s="9" t="n"/>
      <c r="H186" s="28" t="n"/>
      <c r="I186" s="28" t="n"/>
      <c r="J186" s="9" t="n"/>
      <c r="K186" s="9" t="n"/>
      <c r="L186" s="9" t="n"/>
      <c r="M186" s="9" t="n"/>
      <c r="N186" s="9" t="n"/>
      <c r="O186" s="7">
        <f>IFERROR(F186/E186,"")</f>
        <v/>
      </c>
      <c r="P186" s="7">
        <f>IFERROR(G186/E186,"")</f>
        <v/>
      </c>
      <c r="Q186" s="7">
        <f>IFERROR(H186/I186,"")</f>
        <v/>
      </c>
      <c r="R186" s="7">
        <f>IFERROR(J186/E186,"")</f>
        <v/>
      </c>
      <c r="S186" s="7">
        <f>IFERROR(K186/E186,"")</f>
        <v/>
      </c>
      <c r="T186" s="7">
        <f>IFERROR(M186/E186,"")</f>
        <v/>
      </c>
      <c r="U186" s="7">
        <f>IFERROR(N186/E186,"")</f>
        <v/>
      </c>
      <c r="V186" s="6">
        <f>IFERROR(INDEX('設定・凡例'!$H$20:$H$24,MATCH(D186,'設定・凡例'!$G$20:$G$24,0)),"")</f>
        <v/>
      </c>
      <c r="W186" s="26">
        <f>IF(E186="","",IF(ISNUMBER(V186),IF(E186&gt;=V186,"○","×"),"-"))</f>
        <v/>
      </c>
    </row>
    <row r="187">
      <c r="A187" s="25" t="n"/>
      <c r="B187" s="26">
        <f>IF(A187="","",TEXT(A187,"YYYY-MM"))</f>
        <v/>
      </c>
      <c r="C187" s="27" t="n"/>
      <c r="D187" s="27" t="n"/>
      <c r="E187" s="9" t="n"/>
      <c r="F187" s="9" t="n"/>
      <c r="G187" s="9" t="n"/>
      <c r="H187" s="28" t="n"/>
      <c r="I187" s="28" t="n"/>
      <c r="J187" s="9" t="n"/>
      <c r="K187" s="9" t="n"/>
      <c r="L187" s="9" t="n"/>
      <c r="M187" s="9" t="n"/>
      <c r="N187" s="9" t="n"/>
      <c r="O187" s="7">
        <f>IFERROR(F187/E187,"")</f>
        <v/>
      </c>
      <c r="P187" s="7">
        <f>IFERROR(G187/E187,"")</f>
        <v/>
      </c>
      <c r="Q187" s="7">
        <f>IFERROR(H187/I187,"")</f>
        <v/>
      </c>
      <c r="R187" s="7">
        <f>IFERROR(J187/E187,"")</f>
        <v/>
      </c>
      <c r="S187" s="7">
        <f>IFERROR(K187/E187,"")</f>
        <v/>
      </c>
      <c r="T187" s="7">
        <f>IFERROR(M187/E187,"")</f>
        <v/>
      </c>
      <c r="U187" s="7">
        <f>IFERROR(N187/E187,"")</f>
        <v/>
      </c>
      <c r="V187" s="6">
        <f>IFERROR(INDEX('設定・凡例'!$H$20:$H$24,MATCH(D187,'設定・凡例'!$G$20:$G$24,0)),"")</f>
        <v/>
      </c>
      <c r="W187" s="26">
        <f>IF(E187="","",IF(ISNUMBER(V187),IF(E187&gt;=V187,"○","×"),"-"))</f>
        <v/>
      </c>
    </row>
    <row r="188">
      <c r="A188" s="25" t="n"/>
      <c r="B188" s="26">
        <f>IF(A188="","",TEXT(A188,"YYYY-MM"))</f>
        <v/>
      </c>
      <c r="C188" s="27" t="n"/>
      <c r="D188" s="27" t="n"/>
      <c r="E188" s="9" t="n"/>
      <c r="F188" s="9" t="n"/>
      <c r="G188" s="9" t="n"/>
      <c r="H188" s="28" t="n"/>
      <c r="I188" s="28" t="n"/>
      <c r="J188" s="9" t="n"/>
      <c r="K188" s="9" t="n"/>
      <c r="L188" s="9" t="n"/>
      <c r="M188" s="9" t="n"/>
      <c r="N188" s="9" t="n"/>
      <c r="O188" s="7">
        <f>IFERROR(F188/E188,"")</f>
        <v/>
      </c>
      <c r="P188" s="7">
        <f>IFERROR(G188/E188,"")</f>
        <v/>
      </c>
      <c r="Q188" s="7">
        <f>IFERROR(H188/I188,"")</f>
        <v/>
      </c>
      <c r="R188" s="7">
        <f>IFERROR(J188/E188,"")</f>
        <v/>
      </c>
      <c r="S188" s="7">
        <f>IFERROR(K188/E188,"")</f>
        <v/>
      </c>
      <c r="T188" s="7">
        <f>IFERROR(M188/E188,"")</f>
        <v/>
      </c>
      <c r="U188" s="7">
        <f>IFERROR(N188/E188,"")</f>
        <v/>
      </c>
      <c r="V188" s="6">
        <f>IFERROR(INDEX('設定・凡例'!$H$20:$H$24,MATCH(D188,'設定・凡例'!$G$20:$G$24,0)),"")</f>
        <v/>
      </c>
      <c r="W188" s="26">
        <f>IF(E188="","",IF(ISNUMBER(V188),IF(E188&gt;=V188,"○","×"),"-"))</f>
        <v/>
      </c>
    </row>
    <row r="189">
      <c r="A189" s="25" t="n"/>
      <c r="B189" s="26">
        <f>IF(A189="","",TEXT(A189,"YYYY-MM"))</f>
        <v/>
      </c>
      <c r="C189" s="27" t="n"/>
      <c r="D189" s="27" t="n"/>
      <c r="E189" s="9" t="n"/>
      <c r="F189" s="9" t="n"/>
      <c r="G189" s="9" t="n"/>
      <c r="H189" s="28" t="n"/>
      <c r="I189" s="28" t="n"/>
      <c r="J189" s="9" t="n"/>
      <c r="K189" s="9" t="n"/>
      <c r="L189" s="9" t="n"/>
      <c r="M189" s="9" t="n"/>
      <c r="N189" s="9" t="n"/>
      <c r="O189" s="7">
        <f>IFERROR(F189/E189,"")</f>
        <v/>
      </c>
      <c r="P189" s="7">
        <f>IFERROR(G189/E189,"")</f>
        <v/>
      </c>
      <c r="Q189" s="7">
        <f>IFERROR(H189/I189,"")</f>
        <v/>
      </c>
      <c r="R189" s="7">
        <f>IFERROR(J189/E189,"")</f>
        <v/>
      </c>
      <c r="S189" s="7">
        <f>IFERROR(K189/E189,"")</f>
        <v/>
      </c>
      <c r="T189" s="7">
        <f>IFERROR(M189/E189,"")</f>
        <v/>
      </c>
      <c r="U189" s="7">
        <f>IFERROR(N189/E189,"")</f>
        <v/>
      </c>
      <c r="V189" s="6">
        <f>IFERROR(INDEX('設定・凡例'!$H$20:$H$24,MATCH(D189,'設定・凡例'!$G$20:$G$24,0)),"")</f>
        <v/>
      </c>
      <c r="W189" s="26">
        <f>IF(E189="","",IF(ISNUMBER(V189),IF(E189&gt;=V189,"○","×"),"-"))</f>
        <v/>
      </c>
    </row>
    <row r="190">
      <c r="A190" s="25" t="n"/>
      <c r="B190" s="26">
        <f>IF(A190="","",TEXT(A190,"YYYY-MM"))</f>
        <v/>
      </c>
      <c r="C190" s="27" t="n"/>
      <c r="D190" s="27" t="n"/>
      <c r="E190" s="9" t="n"/>
      <c r="F190" s="9" t="n"/>
      <c r="G190" s="9" t="n"/>
      <c r="H190" s="28" t="n"/>
      <c r="I190" s="28" t="n"/>
      <c r="J190" s="9" t="n"/>
      <c r="K190" s="9" t="n"/>
      <c r="L190" s="9" t="n"/>
      <c r="M190" s="9" t="n"/>
      <c r="N190" s="9" t="n"/>
      <c r="O190" s="7">
        <f>IFERROR(F190/E190,"")</f>
        <v/>
      </c>
      <c r="P190" s="7">
        <f>IFERROR(G190/E190,"")</f>
        <v/>
      </c>
      <c r="Q190" s="7">
        <f>IFERROR(H190/I190,"")</f>
        <v/>
      </c>
      <c r="R190" s="7">
        <f>IFERROR(J190/E190,"")</f>
        <v/>
      </c>
      <c r="S190" s="7">
        <f>IFERROR(K190/E190,"")</f>
        <v/>
      </c>
      <c r="T190" s="7">
        <f>IFERROR(M190/E190,"")</f>
        <v/>
      </c>
      <c r="U190" s="7">
        <f>IFERROR(N190/E190,"")</f>
        <v/>
      </c>
      <c r="V190" s="6">
        <f>IFERROR(INDEX('設定・凡例'!$H$20:$H$24,MATCH(D190,'設定・凡例'!$G$20:$G$24,0)),"")</f>
        <v/>
      </c>
      <c r="W190" s="26">
        <f>IF(E190="","",IF(ISNUMBER(V190),IF(E190&gt;=V190,"○","×"),"-"))</f>
        <v/>
      </c>
    </row>
    <row r="191">
      <c r="A191" s="25" t="n"/>
      <c r="B191" s="26">
        <f>IF(A191="","",TEXT(A191,"YYYY-MM"))</f>
        <v/>
      </c>
      <c r="C191" s="27" t="n"/>
      <c r="D191" s="27" t="n"/>
      <c r="E191" s="9" t="n"/>
      <c r="F191" s="9" t="n"/>
      <c r="G191" s="9" t="n"/>
      <c r="H191" s="28" t="n"/>
      <c r="I191" s="28" t="n"/>
      <c r="J191" s="9" t="n"/>
      <c r="K191" s="9" t="n"/>
      <c r="L191" s="9" t="n"/>
      <c r="M191" s="9" t="n"/>
      <c r="N191" s="9" t="n"/>
      <c r="O191" s="7">
        <f>IFERROR(F191/E191,"")</f>
        <v/>
      </c>
      <c r="P191" s="7">
        <f>IFERROR(G191/E191,"")</f>
        <v/>
      </c>
      <c r="Q191" s="7">
        <f>IFERROR(H191/I191,"")</f>
        <v/>
      </c>
      <c r="R191" s="7">
        <f>IFERROR(J191/E191,"")</f>
        <v/>
      </c>
      <c r="S191" s="7">
        <f>IFERROR(K191/E191,"")</f>
        <v/>
      </c>
      <c r="T191" s="7">
        <f>IFERROR(M191/E191,"")</f>
        <v/>
      </c>
      <c r="U191" s="7">
        <f>IFERROR(N191/E191,"")</f>
        <v/>
      </c>
      <c r="V191" s="6">
        <f>IFERROR(INDEX('設定・凡例'!$H$20:$H$24,MATCH(D191,'設定・凡例'!$G$20:$G$24,0)),"")</f>
        <v/>
      </c>
      <c r="W191" s="26">
        <f>IF(E191="","",IF(ISNUMBER(V191),IF(E191&gt;=V191,"○","×"),"-"))</f>
        <v/>
      </c>
    </row>
    <row r="192">
      <c r="A192" s="25" t="n"/>
      <c r="B192" s="26">
        <f>IF(A192="","",TEXT(A192,"YYYY-MM"))</f>
        <v/>
      </c>
      <c r="C192" s="27" t="n"/>
      <c r="D192" s="27" t="n"/>
      <c r="E192" s="9" t="n"/>
      <c r="F192" s="9" t="n"/>
      <c r="G192" s="9" t="n"/>
      <c r="H192" s="28" t="n"/>
      <c r="I192" s="28" t="n"/>
      <c r="J192" s="9" t="n"/>
      <c r="K192" s="9" t="n"/>
      <c r="L192" s="9" t="n"/>
      <c r="M192" s="9" t="n"/>
      <c r="N192" s="9" t="n"/>
      <c r="O192" s="7">
        <f>IFERROR(F192/E192,"")</f>
        <v/>
      </c>
      <c r="P192" s="7">
        <f>IFERROR(G192/E192,"")</f>
        <v/>
      </c>
      <c r="Q192" s="7">
        <f>IFERROR(H192/I192,"")</f>
        <v/>
      </c>
      <c r="R192" s="7">
        <f>IFERROR(J192/E192,"")</f>
        <v/>
      </c>
      <c r="S192" s="7">
        <f>IFERROR(K192/E192,"")</f>
        <v/>
      </c>
      <c r="T192" s="7">
        <f>IFERROR(M192/E192,"")</f>
        <v/>
      </c>
      <c r="U192" s="7">
        <f>IFERROR(N192/E192,"")</f>
        <v/>
      </c>
      <c r="V192" s="6">
        <f>IFERROR(INDEX('設定・凡例'!$H$20:$H$24,MATCH(D192,'設定・凡例'!$G$20:$G$24,0)),"")</f>
        <v/>
      </c>
      <c r="W192" s="26">
        <f>IF(E192="","",IF(ISNUMBER(V192),IF(E192&gt;=V192,"○","×"),"-"))</f>
        <v/>
      </c>
    </row>
    <row r="193">
      <c r="A193" s="25" t="n"/>
      <c r="B193" s="26">
        <f>IF(A193="","",TEXT(A193,"YYYY-MM"))</f>
        <v/>
      </c>
      <c r="C193" s="27" t="n"/>
      <c r="D193" s="27" t="n"/>
      <c r="E193" s="9" t="n"/>
      <c r="F193" s="9" t="n"/>
      <c r="G193" s="9" t="n"/>
      <c r="H193" s="28" t="n"/>
      <c r="I193" s="28" t="n"/>
      <c r="J193" s="9" t="n"/>
      <c r="K193" s="9" t="n"/>
      <c r="L193" s="9" t="n"/>
      <c r="M193" s="9" t="n"/>
      <c r="N193" s="9" t="n"/>
      <c r="O193" s="7">
        <f>IFERROR(F193/E193,"")</f>
        <v/>
      </c>
      <c r="P193" s="7">
        <f>IFERROR(G193/E193,"")</f>
        <v/>
      </c>
      <c r="Q193" s="7">
        <f>IFERROR(H193/I193,"")</f>
        <v/>
      </c>
      <c r="R193" s="7">
        <f>IFERROR(J193/E193,"")</f>
        <v/>
      </c>
      <c r="S193" s="7">
        <f>IFERROR(K193/E193,"")</f>
        <v/>
      </c>
      <c r="T193" s="7">
        <f>IFERROR(M193/E193,"")</f>
        <v/>
      </c>
      <c r="U193" s="7">
        <f>IFERROR(N193/E193,"")</f>
        <v/>
      </c>
      <c r="V193" s="6">
        <f>IFERROR(INDEX('設定・凡例'!$H$20:$H$24,MATCH(D193,'設定・凡例'!$G$20:$G$24,0)),"")</f>
        <v/>
      </c>
      <c r="W193" s="26">
        <f>IF(E193="","",IF(ISNUMBER(V193),IF(E193&gt;=V193,"○","×"),"-"))</f>
        <v/>
      </c>
    </row>
    <row r="194">
      <c r="A194" s="25" t="n"/>
      <c r="B194" s="26">
        <f>IF(A194="","",TEXT(A194,"YYYY-MM"))</f>
        <v/>
      </c>
      <c r="C194" s="27" t="n"/>
      <c r="D194" s="27" t="n"/>
      <c r="E194" s="9" t="n"/>
      <c r="F194" s="9" t="n"/>
      <c r="G194" s="9" t="n"/>
      <c r="H194" s="28" t="n"/>
      <c r="I194" s="28" t="n"/>
      <c r="J194" s="9" t="n"/>
      <c r="K194" s="9" t="n"/>
      <c r="L194" s="9" t="n"/>
      <c r="M194" s="9" t="n"/>
      <c r="N194" s="9" t="n"/>
      <c r="O194" s="7">
        <f>IFERROR(F194/E194,"")</f>
        <v/>
      </c>
      <c r="P194" s="7">
        <f>IFERROR(G194/E194,"")</f>
        <v/>
      </c>
      <c r="Q194" s="7">
        <f>IFERROR(H194/I194,"")</f>
        <v/>
      </c>
      <c r="R194" s="7">
        <f>IFERROR(J194/E194,"")</f>
        <v/>
      </c>
      <c r="S194" s="7">
        <f>IFERROR(K194/E194,"")</f>
        <v/>
      </c>
      <c r="T194" s="7">
        <f>IFERROR(M194/E194,"")</f>
        <v/>
      </c>
      <c r="U194" s="7">
        <f>IFERROR(N194/E194,"")</f>
        <v/>
      </c>
      <c r="V194" s="6">
        <f>IFERROR(INDEX('設定・凡例'!$H$20:$H$24,MATCH(D194,'設定・凡例'!$G$20:$G$24,0)),"")</f>
        <v/>
      </c>
      <c r="W194" s="26">
        <f>IF(E194="","",IF(ISNUMBER(V194),IF(E194&gt;=V194,"○","×"),"-"))</f>
        <v/>
      </c>
    </row>
    <row r="195">
      <c r="A195" s="25" t="n"/>
      <c r="B195" s="26">
        <f>IF(A195="","",TEXT(A195,"YYYY-MM"))</f>
        <v/>
      </c>
      <c r="C195" s="27" t="n"/>
      <c r="D195" s="27" t="n"/>
      <c r="E195" s="9" t="n"/>
      <c r="F195" s="9" t="n"/>
      <c r="G195" s="9" t="n"/>
      <c r="H195" s="28" t="n"/>
      <c r="I195" s="28" t="n"/>
      <c r="J195" s="9" t="n"/>
      <c r="K195" s="9" t="n"/>
      <c r="L195" s="9" t="n"/>
      <c r="M195" s="9" t="n"/>
      <c r="N195" s="9" t="n"/>
      <c r="O195" s="7">
        <f>IFERROR(F195/E195,"")</f>
        <v/>
      </c>
      <c r="P195" s="7">
        <f>IFERROR(G195/E195,"")</f>
        <v/>
      </c>
      <c r="Q195" s="7">
        <f>IFERROR(H195/I195,"")</f>
        <v/>
      </c>
      <c r="R195" s="7">
        <f>IFERROR(J195/E195,"")</f>
        <v/>
      </c>
      <c r="S195" s="7">
        <f>IFERROR(K195/E195,"")</f>
        <v/>
      </c>
      <c r="T195" s="7">
        <f>IFERROR(M195/E195,"")</f>
        <v/>
      </c>
      <c r="U195" s="7">
        <f>IFERROR(N195/E195,"")</f>
        <v/>
      </c>
      <c r="V195" s="6">
        <f>IFERROR(INDEX('設定・凡例'!$H$20:$H$24,MATCH(D195,'設定・凡例'!$G$20:$G$24,0)),"")</f>
        <v/>
      </c>
      <c r="W195" s="26">
        <f>IF(E195="","",IF(ISNUMBER(V195),IF(E195&gt;=V195,"○","×"),"-"))</f>
        <v/>
      </c>
    </row>
    <row r="196">
      <c r="A196" s="25" t="n"/>
      <c r="B196" s="26">
        <f>IF(A196="","",TEXT(A196,"YYYY-MM"))</f>
        <v/>
      </c>
      <c r="C196" s="27" t="n"/>
      <c r="D196" s="27" t="n"/>
      <c r="E196" s="9" t="n"/>
      <c r="F196" s="9" t="n"/>
      <c r="G196" s="9" t="n"/>
      <c r="H196" s="28" t="n"/>
      <c r="I196" s="28" t="n"/>
      <c r="J196" s="9" t="n"/>
      <c r="K196" s="9" t="n"/>
      <c r="L196" s="9" t="n"/>
      <c r="M196" s="9" t="n"/>
      <c r="N196" s="9" t="n"/>
      <c r="O196" s="7">
        <f>IFERROR(F196/E196,"")</f>
        <v/>
      </c>
      <c r="P196" s="7">
        <f>IFERROR(G196/E196,"")</f>
        <v/>
      </c>
      <c r="Q196" s="7">
        <f>IFERROR(H196/I196,"")</f>
        <v/>
      </c>
      <c r="R196" s="7">
        <f>IFERROR(J196/E196,"")</f>
        <v/>
      </c>
      <c r="S196" s="7">
        <f>IFERROR(K196/E196,"")</f>
        <v/>
      </c>
      <c r="T196" s="7">
        <f>IFERROR(M196/E196,"")</f>
        <v/>
      </c>
      <c r="U196" s="7">
        <f>IFERROR(N196/E196,"")</f>
        <v/>
      </c>
      <c r="V196" s="6">
        <f>IFERROR(INDEX('設定・凡例'!$H$20:$H$24,MATCH(D196,'設定・凡例'!$G$20:$G$24,0)),"")</f>
        <v/>
      </c>
      <c r="W196" s="26">
        <f>IF(E196="","",IF(ISNUMBER(V196),IF(E196&gt;=V196,"○","×"),"-"))</f>
        <v/>
      </c>
    </row>
    <row r="197">
      <c r="A197" s="25" t="n"/>
      <c r="B197" s="26">
        <f>IF(A197="","",TEXT(A197,"YYYY-MM"))</f>
        <v/>
      </c>
      <c r="C197" s="27" t="n"/>
      <c r="D197" s="27" t="n"/>
      <c r="E197" s="9" t="n"/>
      <c r="F197" s="9" t="n"/>
      <c r="G197" s="9" t="n"/>
      <c r="H197" s="28" t="n"/>
      <c r="I197" s="28" t="n"/>
      <c r="J197" s="9" t="n"/>
      <c r="K197" s="9" t="n"/>
      <c r="L197" s="9" t="n"/>
      <c r="M197" s="9" t="n"/>
      <c r="N197" s="9" t="n"/>
      <c r="O197" s="7">
        <f>IFERROR(F197/E197,"")</f>
        <v/>
      </c>
      <c r="P197" s="7">
        <f>IFERROR(G197/E197,"")</f>
        <v/>
      </c>
      <c r="Q197" s="7">
        <f>IFERROR(H197/I197,"")</f>
        <v/>
      </c>
      <c r="R197" s="7">
        <f>IFERROR(J197/E197,"")</f>
        <v/>
      </c>
      <c r="S197" s="7">
        <f>IFERROR(K197/E197,"")</f>
        <v/>
      </c>
      <c r="T197" s="7">
        <f>IFERROR(M197/E197,"")</f>
        <v/>
      </c>
      <c r="U197" s="7">
        <f>IFERROR(N197/E197,"")</f>
        <v/>
      </c>
      <c r="V197" s="6">
        <f>IFERROR(INDEX('設定・凡例'!$H$20:$H$24,MATCH(D197,'設定・凡例'!$G$20:$G$24,0)),"")</f>
        <v/>
      </c>
      <c r="W197" s="26">
        <f>IF(E197="","",IF(ISNUMBER(V197),IF(E197&gt;=V197,"○","×"),"-"))</f>
        <v/>
      </c>
    </row>
    <row r="198">
      <c r="A198" s="25" t="n"/>
      <c r="B198" s="26">
        <f>IF(A198="","",TEXT(A198,"YYYY-MM"))</f>
        <v/>
      </c>
      <c r="C198" s="27" t="n"/>
      <c r="D198" s="27" t="n"/>
      <c r="E198" s="9" t="n"/>
      <c r="F198" s="9" t="n"/>
      <c r="G198" s="9" t="n"/>
      <c r="H198" s="28" t="n"/>
      <c r="I198" s="28" t="n"/>
      <c r="J198" s="9" t="n"/>
      <c r="K198" s="9" t="n"/>
      <c r="L198" s="9" t="n"/>
      <c r="M198" s="9" t="n"/>
      <c r="N198" s="9" t="n"/>
      <c r="O198" s="7">
        <f>IFERROR(F198/E198,"")</f>
        <v/>
      </c>
      <c r="P198" s="7">
        <f>IFERROR(G198/E198,"")</f>
        <v/>
      </c>
      <c r="Q198" s="7">
        <f>IFERROR(H198/I198,"")</f>
        <v/>
      </c>
      <c r="R198" s="7">
        <f>IFERROR(J198/E198,"")</f>
        <v/>
      </c>
      <c r="S198" s="7">
        <f>IFERROR(K198/E198,"")</f>
        <v/>
      </c>
      <c r="T198" s="7">
        <f>IFERROR(M198/E198,"")</f>
        <v/>
      </c>
      <c r="U198" s="7">
        <f>IFERROR(N198/E198,"")</f>
        <v/>
      </c>
      <c r="V198" s="6">
        <f>IFERROR(INDEX('設定・凡例'!$H$20:$H$24,MATCH(D198,'設定・凡例'!$G$20:$G$24,0)),"")</f>
        <v/>
      </c>
      <c r="W198" s="26">
        <f>IF(E198="","",IF(ISNUMBER(V198),IF(E198&gt;=V198,"○","×"),"-"))</f>
        <v/>
      </c>
    </row>
    <row r="199">
      <c r="A199" s="25" t="n"/>
      <c r="B199" s="26">
        <f>IF(A199="","",TEXT(A199,"YYYY-MM"))</f>
        <v/>
      </c>
      <c r="C199" s="27" t="n"/>
      <c r="D199" s="27" t="n"/>
      <c r="E199" s="9" t="n"/>
      <c r="F199" s="9" t="n"/>
      <c r="G199" s="9" t="n"/>
      <c r="H199" s="28" t="n"/>
      <c r="I199" s="28" t="n"/>
      <c r="J199" s="9" t="n"/>
      <c r="K199" s="9" t="n"/>
      <c r="L199" s="9" t="n"/>
      <c r="M199" s="9" t="n"/>
      <c r="N199" s="9" t="n"/>
      <c r="O199" s="7">
        <f>IFERROR(F199/E199,"")</f>
        <v/>
      </c>
      <c r="P199" s="7">
        <f>IFERROR(G199/E199,"")</f>
        <v/>
      </c>
      <c r="Q199" s="7">
        <f>IFERROR(H199/I199,"")</f>
        <v/>
      </c>
      <c r="R199" s="7">
        <f>IFERROR(J199/E199,"")</f>
        <v/>
      </c>
      <c r="S199" s="7">
        <f>IFERROR(K199/E199,"")</f>
        <v/>
      </c>
      <c r="T199" s="7">
        <f>IFERROR(M199/E199,"")</f>
        <v/>
      </c>
      <c r="U199" s="7">
        <f>IFERROR(N199/E199,"")</f>
        <v/>
      </c>
      <c r="V199" s="6">
        <f>IFERROR(INDEX('設定・凡例'!$H$20:$H$24,MATCH(D199,'設定・凡例'!$G$20:$G$24,0)),"")</f>
        <v/>
      </c>
      <c r="W199" s="26">
        <f>IF(E199="","",IF(ISNUMBER(V199),IF(E199&gt;=V199,"○","×"),"-"))</f>
        <v/>
      </c>
    </row>
    <row r="200">
      <c r="A200" s="25" t="n"/>
      <c r="B200" s="26">
        <f>IF(A200="","",TEXT(A200,"YYYY-MM"))</f>
        <v/>
      </c>
      <c r="C200" s="27" t="n"/>
      <c r="D200" s="27" t="n"/>
      <c r="E200" s="9" t="n"/>
      <c r="F200" s="9" t="n"/>
      <c r="G200" s="9" t="n"/>
      <c r="H200" s="28" t="n"/>
      <c r="I200" s="28" t="n"/>
      <c r="J200" s="9" t="n"/>
      <c r="K200" s="9" t="n"/>
      <c r="L200" s="9" t="n"/>
      <c r="M200" s="9" t="n"/>
      <c r="N200" s="9" t="n"/>
      <c r="O200" s="7">
        <f>IFERROR(F200/E200,"")</f>
        <v/>
      </c>
      <c r="P200" s="7">
        <f>IFERROR(G200/E200,"")</f>
        <v/>
      </c>
      <c r="Q200" s="7">
        <f>IFERROR(H200/I200,"")</f>
        <v/>
      </c>
      <c r="R200" s="7">
        <f>IFERROR(J200/E200,"")</f>
        <v/>
      </c>
      <c r="S200" s="7">
        <f>IFERROR(K200/E200,"")</f>
        <v/>
      </c>
      <c r="T200" s="7">
        <f>IFERROR(M200/E200,"")</f>
        <v/>
      </c>
      <c r="U200" s="7">
        <f>IFERROR(N200/E200,"")</f>
        <v/>
      </c>
      <c r="V200" s="6">
        <f>IFERROR(INDEX('設定・凡例'!$H$20:$H$24,MATCH(D200,'設定・凡例'!$G$20:$G$24,0)),"")</f>
        <v/>
      </c>
      <c r="W200" s="26">
        <f>IF(E200="","",IF(ISNUMBER(V200),IF(E200&gt;=V200,"○","×"),"-"))</f>
        <v/>
      </c>
    </row>
    <row r="201">
      <c r="A201" s="25" t="n"/>
      <c r="B201" s="26">
        <f>IF(A201="","",TEXT(A201,"YYYY-MM"))</f>
        <v/>
      </c>
      <c r="C201" s="27" t="n"/>
      <c r="D201" s="27" t="n"/>
      <c r="E201" s="9" t="n"/>
      <c r="F201" s="9" t="n"/>
      <c r="G201" s="9" t="n"/>
      <c r="H201" s="28" t="n"/>
      <c r="I201" s="28" t="n"/>
      <c r="J201" s="9" t="n"/>
      <c r="K201" s="9" t="n"/>
      <c r="L201" s="9" t="n"/>
      <c r="M201" s="9" t="n"/>
      <c r="N201" s="9" t="n"/>
      <c r="O201" s="7">
        <f>IFERROR(F201/E201,"")</f>
        <v/>
      </c>
      <c r="P201" s="7">
        <f>IFERROR(G201/E201,"")</f>
        <v/>
      </c>
      <c r="Q201" s="7">
        <f>IFERROR(H201/I201,"")</f>
        <v/>
      </c>
      <c r="R201" s="7">
        <f>IFERROR(J201/E201,"")</f>
        <v/>
      </c>
      <c r="S201" s="7">
        <f>IFERROR(K201/E201,"")</f>
        <v/>
      </c>
      <c r="T201" s="7">
        <f>IFERROR(M201/E201,"")</f>
        <v/>
      </c>
      <c r="U201" s="7">
        <f>IFERROR(N201/E201,"")</f>
        <v/>
      </c>
      <c r="V201" s="6">
        <f>IFERROR(INDEX('設定・凡例'!$H$20:$H$24,MATCH(D201,'設定・凡例'!$G$20:$G$24,0)),"")</f>
        <v/>
      </c>
      <c r="W201" s="26">
        <f>IF(E201="","",IF(ISNUMBER(V201),IF(E201&gt;=V201,"○","×"),"-"))</f>
        <v/>
      </c>
    </row>
    <row r="202">
      <c r="A202" s="25" t="n"/>
      <c r="B202" s="26">
        <f>IF(A202="","",TEXT(A202,"YYYY-MM"))</f>
        <v/>
      </c>
      <c r="C202" s="27" t="n"/>
      <c r="D202" s="27" t="n"/>
      <c r="E202" s="9" t="n"/>
      <c r="F202" s="9" t="n"/>
      <c r="G202" s="9" t="n"/>
      <c r="H202" s="28" t="n"/>
      <c r="I202" s="28" t="n"/>
      <c r="J202" s="9" t="n"/>
      <c r="K202" s="9" t="n"/>
      <c r="L202" s="9" t="n"/>
      <c r="M202" s="9" t="n"/>
      <c r="N202" s="9" t="n"/>
      <c r="O202" s="7">
        <f>IFERROR(F202/E202,"")</f>
        <v/>
      </c>
      <c r="P202" s="7">
        <f>IFERROR(G202/E202,"")</f>
        <v/>
      </c>
      <c r="Q202" s="7">
        <f>IFERROR(H202/I202,"")</f>
        <v/>
      </c>
      <c r="R202" s="7">
        <f>IFERROR(J202/E202,"")</f>
        <v/>
      </c>
      <c r="S202" s="7">
        <f>IFERROR(K202/E202,"")</f>
        <v/>
      </c>
      <c r="T202" s="7">
        <f>IFERROR(M202/E202,"")</f>
        <v/>
      </c>
      <c r="U202" s="7">
        <f>IFERROR(N202/E202,"")</f>
        <v/>
      </c>
      <c r="V202" s="6">
        <f>IFERROR(INDEX('設定・凡例'!$H$20:$H$24,MATCH(D202,'設定・凡例'!$G$20:$G$24,0)),"")</f>
        <v/>
      </c>
      <c r="W202" s="26">
        <f>IF(E202="","",IF(ISNUMBER(V202),IF(E202&gt;=V202,"○","×"),"-"))</f>
        <v/>
      </c>
    </row>
    <row r="203">
      <c r="A203" s="25" t="n"/>
      <c r="B203" s="26">
        <f>IF(A203="","",TEXT(A203,"YYYY-MM"))</f>
        <v/>
      </c>
      <c r="C203" s="27" t="n"/>
      <c r="D203" s="27" t="n"/>
      <c r="E203" s="9" t="n"/>
      <c r="F203" s="9" t="n"/>
      <c r="G203" s="9" t="n"/>
      <c r="H203" s="28" t="n"/>
      <c r="I203" s="28" t="n"/>
      <c r="J203" s="9" t="n"/>
      <c r="K203" s="9" t="n"/>
      <c r="L203" s="9" t="n"/>
      <c r="M203" s="9" t="n"/>
      <c r="N203" s="9" t="n"/>
      <c r="O203" s="7">
        <f>IFERROR(F203/E203,"")</f>
        <v/>
      </c>
      <c r="P203" s="7">
        <f>IFERROR(G203/E203,"")</f>
        <v/>
      </c>
      <c r="Q203" s="7">
        <f>IFERROR(H203/I203,"")</f>
        <v/>
      </c>
      <c r="R203" s="7">
        <f>IFERROR(J203/E203,"")</f>
        <v/>
      </c>
      <c r="S203" s="7">
        <f>IFERROR(K203/E203,"")</f>
        <v/>
      </c>
      <c r="T203" s="7">
        <f>IFERROR(M203/E203,"")</f>
        <v/>
      </c>
      <c r="U203" s="7">
        <f>IFERROR(N203/E203,"")</f>
        <v/>
      </c>
      <c r="V203" s="6">
        <f>IFERROR(INDEX('設定・凡例'!$H$20:$H$24,MATCH(D203,'設定・凡例'!$G$20:$G$24,0)),"")</f>
        <v/>
      </c>
      <c r="W203" s="26">
        <f>IF(E203="","",IF(ISNUMBER(V203),IF(E203&gt;=V203,"○","×"),"-"))</f>
        <v/>
      </c>
    </row>
    <row r="204">
      <c r="A204" s="25" t="n"/>
      <c r="B204" s="26">
        <f>IF(A204="","",TEXT(A204,"YYYY-MM"))</f>
        <v/>
      </c>
      <c r="C204" s="27" t="n"/>
      <c r="D204" s="27" t="n"/>
      <c r="E204" s="9" t="n"/>
      <c r="F204" s="9" t="n"/>
      <c r="G204" s="9" t="n"/>
      <c r="H204" s="28" t="n"/>
      <c r="I204" s="28" t="n"/>
      <c r="J204" s="9" t="n"/>
      <c r="K204" s="9" t="n"/>
      <c r="L204" s="9" t="n"/>
      <c r="M204" s="9" t="n"/>
      <c r="N204" s="9" t="n"/>
      <c r="O204" s="7">
        <f>IFERROR(F204/E204,"")</f>
        <v/>
      </c>
      <c r="P204" s="7">
        <f>IFERROR(G204/E204,"")</f>
        <v/>
      </c>
      <c r="Q204" s="7">
        <f>IFERROR(H204/I204,"")</f>
        <v/>
      </c>
      <c r="R204" s="7">
        <f>IFERROR(J204/E204,"")</f>
        <v/>
      </c>
      <c r="S204" s="7">
        <f>IFERROR(K204/E204,"")</f>
        <v/>
      </c>
      <c r="T204" s="7">
        <f>IFERROR(M204/E204,"")</f>
        <v/>
      </c>
      <c r="U204" s="7">
        <f>IFERROR(N204/E204,"")</f>
        <v/>
      </c>
      <c r="V204" s="6">
        <f>IFERROR(INDEX('設定・凡例'!$H$20:$H$24,MATCH(D204,'設定・凡例'!$G$20:$G$24,0)),"")</f>
        <v/>
      </c>
      <c r="W204" s="26">
        <f>IF(E204="","",IF(ISNUMBER(V204),IF(E204&gt;=V204,"○","×"),"-"))</f>
        <v/>
      </c>
    </row>
  </sheetData>
  <conditionalFormatting sqref="O4:O204">
    <cfRule type="cellIs" priority="1" operator="greaterThanOrEqual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P4:P204">
    <cfRule type="cellIs" priority="4" operator="greaterThanOrEqual" dxfId="0">
      <formula>0.65</formula>
    </cfRule>
    <cfRule type="cellIs" priority="5" operator="between" dxfId="1">
      <formula>0.5</formula>
      <formula>0.65</formula>
    </cfRule>
    <cfRule type="cellIs" priority="6" operator="lessThan" dxfId="2">
      <formula>0.5</formula>
    </cfRule>
  </conditionalFormatting>
  <conditionalFormatting sqref="Q4:Q204">
    <cfRule type="cellIs" priority="7" operator="greaterThanOrEqual" dxfId="0">
      <formula>0.55</formula>
    </cfRule>
    <cfRule type="cellIs" priority="8" operator="between" dxfId="1">
      <formula>0.4</formula>
      <formula>0.55</formula>
    </cfRule>
    <cfRule type="cellIs" priority="9" operator="lessThan" dxfId="2">
      <formula>0.4</formula>
    </cfRule>
  </conditionalFormatting>
  <conditionalFormatting sqref="R4:R204">
    <cfRule type="cellIs" priority="10" operator="greaterThanOrEqual" dxfId="0">
      <formula>0.015</formula>
    </cfRule>
    <cfRule type="cellIs" priority="11" operator="between" dxfId="1">
      <formula>0.005</formula>
      <formula>0.015</formula>
    </cfRule>
    <cfRule type="cellIs" priority="12" operator="lessThan" dxfId="2">
      <formula>0.005</formula>
    </cfRule>
  </conditionalFormatting>
  <conditionalFormatting sqref="S4:S204">
    <cfRule type="cellIs" priority="13" operator="greaterThanOrEqual" dxfId="0">
      <formula>0.06</formula>
    </cfRule>
    <cfRule type="cellIs" priority="14" operator="between" dxfId="1">
      <formula>0.03</formula>
      <formula>0.06</formula>
    </cfRule>
    <cfRule type="cellIs" priority="15" operator="lessThan" dxfId="2">
      <formula>0.03</formula>
    </cfRule>
  </conditionalFormatting>
  <conditionalFormatting sqref="T4:T204">
    <cfRule type="cellIs" priority="16" operator="greaterThanOrEqual" dxfId="0">
      <formula>0.01</formula>
    </cfRule>
    <cfRule type="cellIs" priority="17" operator="between" dxfId="1">
      <formula>0.005</formula>
      <formula>0.01</formula>
    </cfRule>
    <cfRule type="cellIs" priority="18" operator="lessThan" dxfId="2">
      <formula>0.005</formula>
    </cfRule>
  </conditionalFormatting>
  <conditionalFormatting sqref="U4:U204">
    <cfRule type="cellIs" priority="19" operator="greaterThanOrEqual" dxfId="0">
      <formula>0.02</formula>
    </cfRule>
    <cfRule type="cellIs" priority="20" operator="between" dxfId="1">
      <formula>0.01</formula>
      <formula>0.02</formula>
    </cfRule>
    <cfRule type="cellIs" priority="21" operator="lessThan" dxfId="2">
      <formula>0.01</formula>
    </cfRule>
  </conditionalFormatting>
  <conditionalFormatting sqref="W4:W204">
    <cfRule type="cellIs" priority="22" operator="equal" dxfId="0">
      <formula>"○"</formula>
    </cfRule>
    <cfRule type="cellIs" priority="23" operator="equal" dxfId="2">
      <formula>"×"</formula>
    </cfRule>
  </conditionalFormatting>
  <dataValidations count="1">
    <dataValidation sqref="D5:D204" showDropDown="0" showInputMessage="0" showErrorMessage="0" allowBlank="1" type="list">
      <formula1>"IG-R,IG-F,IG-S,TT,YT-S"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2026-07-25T17:50:21Z</dcterms:created>
  <dcterms:modified xsi:type="dcterms:W3CDTF">2026-07-25T17:50:22Z</dcterms:modified>
</cp:coreProperties>
</file>